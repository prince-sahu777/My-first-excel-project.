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502\OneDrive\Documents\"/>
    </mc:Choice>
  </mc:AlternateContent>
  <xr:revisionPtr revIDLastSave="0" documentId="13_ncr:1_{74400CE0-1B2E-4579-B9BB-EAE3B2D4EC4E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STUDENTS DATA" sheetId="1" r:id="rId1"/>
    <sheet name="STUDENTS GRADES" sheetId="2" r:id="rId2"/>
    <sheet name="SUMMARY REPORT" sheetId="3" r:id="rId3"/>
    <sheet name="DASHBOARD" sheetId="4" r:id="rId4"/>
    <sheet name="TOP STUDEN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3" l="1"/>
  <c r="B7" i="3"/>
  <c r="B6" i="3"/>
  <c r="B5" i="3"/>
  <c r="B4" i="3"/>
  <c r="L12" i="1"/>
  <c r="L14" i="1"/>
  <c r="L15" i="1"/>
  <c r="L13" i="1"/>
  <c r="L11" i="1"/>
  <c r="B208" i="1" l="1"/>
  <c r="J206" i="1"/>
  <c r="K206" i="1" s="1"/>
  <c r="I206" i="1"/>
  <c r="J205" i="1"/>
  <c r="K205" i="1" s="1"/>
  <c r="I205" i="1"/>
  <c r="K204" i="1"/>
  <c r="J204" i="1"/>
  <c r="I204" i="1"/>
  <c r="K203" i="1"/>
  <c r="J203" i="1"/>
  <c r="I203" i="1"/>
  <c r="J202" i="1"/>
  <c r="K202" i="1" s="1"/>
  <c r="I202" i="1"/>
  <c r="J201" i="1"/>
  <c r="K201" i="1" s="1"/>
  <c r="I201" i="1"/>
  <c r="K200" i="1"/>
  <c r="J200" i="1"/>
  <c r="I200" i="1"/>
  <c r="K199" i="1"/>
  <c r="J199" i="1"/>
  <c r="I199" i="1"/>
  <c r="J198" i="1"/>
  <c r="K198" i="1" s="1"/>
  <c r="I198" i="1"/>
  <c r="J197" i="1"/>
  <c r="K197" i="1" s="1"/>
  <c r="I197" i="1"/>
  <c r="K196" i="1"/>
  <c r="J196" i="1"/>
  <c r="I196" i="1"/>
  <c r="K195" i="1"/>
  <c r="J195" i="1"/>
  <c r="I195" i="1"/>
  <c r="J194" i="1"/>
  <c r="K194" i="1" s="1"/>
  <c r="I194" i="1"/>
  <c r="J193" i="1"/>
  <c r="K193" i="1" s="1"/>
  <c r="I193" i="1"/>
  <c r="K192" i="1"/>
  <c r="J192" i="1"/>
  <c r="I192" i="1"/>
  <c r="K191" i="1"/>
  <c r="J191" i="1"/>
  <c r="I191" i="1"/>
  <c r="J190" i="1"/>
  <c r="K190" i="1" s="1"/>
  <c r="I190" i="1"/>
  <c r="J189" i="1"/>
  <c r="K189" i="1" s="1"/>
  <c r="I189" i="1"/>
  <c r="K188" i="1"/>
  <c r="J188" i="1"/>
  <c r="I188" i="1"/>
  <c r="K187" i="1"/>
  <c r="J187" i="1"/>
  <c r="I187" i="1"/>
  <c r="J186" i="1"/>
  <c r="K186" i="1" s="1"/>
  <c r="I186" i="1"/>
  <c r="J185" i="1"/>
  <c r="K185" i="1" s="1"/>
  <c r="I185" i="1"/>
  <c r="K184" i="1"/>
  <c r="J184" i="1"/>
  <c r="I184" i="1"/>
  <c r="K183" i="1"/>
  <c r="J183" i="1"/>
  <c r="I183" i="1"/>
  <c r="J182" i="1"/>
  <c r="K182" i="1" s="1"/>
  <c r="I182" i="1"/>
  <c r="J181" i="1"/>
  <c r="K181" i="1" s="1"/>
  <c r="I181" i="1"/>
  <c r="K180" i="1"/>
  <c r="J180" i="1"/>
  <c r="I180" i="1"/>
  <c r="K179" i="1"/>
  <c r="J179" i="1"/>
  <c r="I179" i="1"/>
  <c r="J178" i="1"/>
  <c r="K178" i="1" s="1"/>
  <c r="I178" i="1"/>
  <c r="J177" i="1"/>
  <c r="K177" i="1" s="1"/>
  <c r="I177" i="1"/>
  <c r="K176" i="1"/>
  <c r="J176" i="1"/>
  <c r="I176" i="1"/>
  <c r="K175" i="1"/>
  <c r="J175" i="1"/>
  <c r="I175" i="1"/>
  <c r="J174" i="1"/>
  <c r="K174" i="1" s="1"/>
  <c r="I174" i="1"/>
  <c r="J173" i="1"/>
  <c r="K173" i="1" s="1"/>
  <c r="I173" i="1"/>
  <c r="K172" i="1"/>
  <c r="J172" i="1"/>
  <c r="I172" i="1"/>
  <c r="K171" i="1"/>
  <c r="J171" i="1"/>
  <c r="I171" i="1"/>
  <c r="J170" i="1"/>
  <c r="K170" i="1" s="1"/>
  <c r="I170" i="1"/>
  <c r="J169" i="1"/>
  <c r="K169" i="1" s="1"/>
  <c r="I169" i="1"/>
  <c r="K168" i="1"/>
  <c r="J168" i="1"/>
  <c r="I168" i="1"/>
  <c r="K167" i="1"/>
  <c r="J167" i="1"/>
  <c r="I167" i="1"/>
  <c r="J166" i="1"/>
  <c r="K166" i="1" s="1"/>
  <c r="I166" i="1"/>
  <c r="J165" i="1"/>
  <c r="K165" i="1" s="1"/>
  <c r="I165" i="1"/>
  <c r="K164" i="1"/>
  <c r="J164" i="1"/>
  <c r="I164" i="1"/>
  <c r="K163" i="1"/>
  <c r="J163" i="1"/>
  <c r="I163" i="1"/>
  <c r="J162" i="1"/>
  <c r="K162" i="1" s="1"/>
  <c r="I162" i="1"/>
  <c r="J161" i="1"/>
  <c r="K161" i="1" s="1"/>
  <c r="I161" i="1"/>
  <c r="K160" i="1"/>
  <c r="J160" i="1"/>
  <c r="I160" i="1"/>
  <c r="K159" i="1"/>
  <c r="J159" i="1"/>
  <c r="I159" i="1"/>
  <c r="J158" i="1"/>
  <c r="K158" i="1" s="1"/>
  <c r="I158" i="1"/>
  <c r="J157" i="1"/>
  <c r="K157" i="1" s="1"/>
  <c r="I157" i="1"/>
  <c r="K156" i="1"/>
  <c r="J156" i="1"/>
  <c r="I156" i="1"/>
  <c r="K155" i="1"/>
  <c r="J155" i="1"/>
  <c r="I155" i="1"/>
  <c r="J154" i="1"/>
  <c r="K154" i="1" s="1"/>
  <c r="I154" i="1"/>
  <c r="J153" i="1"/>
  <c r="K153" i="1" s="1"/>
  <c r="I153" i="1"/>
  <c r="K152" i="1"/>
  <c r="J152" i="1"/>
  <c r="I152" i="1"/>
  <c r="K151" i="1"/>
  <c r="J151" i="1"/>
  <c r="I151" i="1"/>
  <c r="J150" i="1"/>
  <c r="K150" i="1" s="1"/>
  <c r="I150" i="1"/>
  <c r="J149" i="1"/>
  <c r="K149" i="1" s="1"/>
  <c r="I149" i="1"/>
  <c r="K148" i="1"/>
  <c r="J148" i="1"/>
  <c r="I148" i="1"/>
  <c r="K147" i="1"/>
  <c r="J147" i="1"/>
  <c r="I147" i="1"/>
  <c r="J146" i="1"/>
  <c r="K146" i="1" s="1"/>
  <c r="I146" i="1"/>
  <c r="J145" i="1"/>
  <c r="K145" i="1" s="1"/>
  <c r="I145" i="1"/>
  <c r="K144" i="1"/>
  <c r="J144" i="1"/>
  <c r="I144" i="1"/>
  <c r="K143" i="1"/>
  <c r="J143" i="1"/>
  <c r="I143" i="1"/>
  <c r="J142" i="1"/>
  <c r="K142" i="1" s="1"/>
  <c r="I142" i="1"/>
  <c r="J141" i="1"/>
  <c r="K141" i="1" s="1"/>
  <c r="I141" i="1"/>
  <c r="K140" i="1"/>
  <c r="J140" i="1"/>
  <c r="I140" i="1"/>
  <c r="K139" i="1"/>
  <c r="J139" i="1"/>
  <c r="I139" i="1"/>
  <c r="J138" i="1"/>
  <c r="K138" i="1" s="1"/>
  <c r="I138" i="1"/>
  <c r="J137" i="1"/>
  <c r="K137" i="1" s="1"/>
  <c r="I137" i="1"/>
  <c r="K136" i="1"/>
  <c r="J136" i="1"/>
  <c r="I136" i="1"/>
  <c r="K135" i="1"/>
  <c r="J135" i="1"/>
  <c r="I135" i="1"/>
  <c r="J134" i="1"/>
  <c r="K134" i="1" s="1"/>
  <c r="I134" i="1"/>
  <c r="J133" i="1"/>
  <c r="K133" i="1" s="1"/>
  <c r="I133" i="1"/>
  <c r="K132" i="1"/>
  <c r="J132" i="1"/>
  <c r="I132" i="1"/>
  <c r="K131" i="1"/>
  <c r="J131" i="1"/>
  <c r="I131" i="1"/>
  <c r="J130" i="1"/>
  <c r="K130" i="1" s="1"/>
  <c r="I130" i="1"/>
  <c r="J129" i="1"/>
  <c r="K129" i="1" s="1"/>
  <c r="I129" i="1"/>
  <c r="K128" i="1"/>
  <c r="J128" i="1"/>
  <c r="I128" i="1"/>
  <c r="K127" i="1"/>
  <c r="J127" i="1"/>
  <c r="I127" i="1"/>
  <c r="J126" i="1"/>
  <c r="K126" i="1" s="1"/>
  <c r="I126" i="1"/>
  <c r="J125" i="1"/>
  <c r="K125" i="1" s="1"/>
  <c r="I125" i="1"/>
  <c r="K124" i="1"/>
  <c r="J124" i="1"/>
  <c r="I124" i="1"/>
  <c r="K123" i="1"/>
  <c r="J123" i="1"/>
  <c r="I123" i="1"/>
  <c r="J122" i="1"/>
  <c r="K122" i="1" s="1"/>
  <c r="I122" i="1"/>
  <c r="J121" i="1"/>
  <c r="K121" i="1" s="1"/>
  <c r="I121" i="1"/>
  <c r="K120" i="1"/>
  <c r="J120" i="1"/>
  <c r="I120" i="1"/>
  <c r="K119" i="1"/>
  <c r="J119" i="1"/>
  <c r="I119" i="1"/>
  <c r="J118" i="1"/>
  <c r="K118" i="1" s="1"/>
  <c r="I118" i="1"/>
  <c r="J117" i="1"/>
  <c r="K117" i="1" s="1"/>
  <c r="I117" i="1"/>
  <c r="K116" i="1"/>
  <c r="J116" i="1"/>
  <c r="I116" i="1"/>
  <c r="K115" i="1"/>
  <c r="J115" i="1"/>
  <c r="I115" i="1"/>
  <c r="J114" i="1"/>
  <c r="K114" i="1" s="1"/>
  <c r="I114" i="1"/>
  <c r="J113" i="1"/>
  <c r="K113" i="1" s="1"/>
  <c r="I113" i="1"/>
  <c r="K112" i="1"/>
  <c r="J112" i="1"/>
  <c r="I112" i="1"/>
  <c r="K111" i="1"/>
  <c r="J111" i="1"/>
  <c r="I111" i="1"/>
  <c r="J110" i="1"/>
  <c r="K110" i="1" s="1"/>
  <c r="I110" i="1"/>
  <c r="J109" i="1"/>
  <c r="K109" i="1" s="1"/>
  <c r="I109" i="1"/>
  <c r="K108" i="1"/>
  <c r="J108" i="1"/>
  <c r="I108" i="1"/>
  <c r="K107" i="1"/>
  <c r="J107" i="1"/>
  <c r="I107" i="1"/>
  <c r="J106" i="1"/>
  <c r="K106" i="1" s="1"/>
  <c r="I106" i="1"/>
  <c r="J105" i="1"/>
  <c r="K105" i="1" s="1"/>
  <c r="I105" i="1"/>
  <c r="K104" i="1"/>
  <c r="J104" i="1"/>
  <c r="I104" i="1"/>
  <c r="K103" i="1"/>
  <c r="J103" i="1"/>
  <c r="I103" i="1"/>
  <c r="J102" i="1"/>
  <c r="K102" i="1" s="1"/>
  <c r="I102" i="1"/>
  <c r="J101" i="1"/>
  <c r="K101" i="1" s="1"/>
  <c r="I101" i="1"/>
  <c r="K100" i="1"/>
  <c r="J100" i="1"/>
  <c r="I100" i="1"/>
  <c r="K99" i="1"/>
  <c r="J99" i="1"/>
  <c r="I99" i="1"/>
  <c r="J98" i="1"/>
  <c r="K98" i="1" s="1"/>
  <c r="I98" i="1"/>
  <c r="J97" i="1"/>
  <c r="K97" i="1" s="1"/>
  <c r="I97" i="1"/>
  <c r="K96" i="1"/>
  <c r="J96" i="1"/>
  <c r="I96" i="1"/>
  <c r="K95" i="1"/>
  <c r="J95" i="1"/>
  <c r="I95" i="1"/>
  <c r="J94" i="1"/>
  <c r="K94" i="1" s="1"/>
  <c r="I94" i="1"/>
  <c r="J93" i="1"/>
  <c r="K93" i="1" s="1"/>
  <c r="I93" i="1"/>
  <c r="K92" i="1"/>
  <c r="J92" i="1"/>
  <c r="I92" i="1"/>
  <c r="K91" i="1"/>
  <c r="J91" i="1"/>
  <c r="I91" i="1"/>
  <c r="J90" i="1"/>
  <c r="K90" i="1" s="1"/>
  <c r="I90" i="1"/>
  <c r="J89" i="1"/>
  <c r="K89" i="1" s="1"/>
  <c r="I89" i="1"/>
  <c r="K88" i="1"/>
  <c r="J88" i="1"/>
  <c r="I88" i="1"/>
  <c r="K87" i="1"/>
  <c r="J87" i="1"/>
  <c r="I87" i="1"/>
  <c r="J86" i="1"/>
  <c r="K86" i="1" s="1"/>
  <c r="I86" i="1"/>
  <c r="J85" i="1"/>
  <c r="K85" i="1" s="1"/>
  <c r="I85" i="1"/>
  <c r="K84" i="1"/>
  <c r="J84" i="1"/>
  <c r="I84" i="1"/>
  <c r="K83" i="1"/>
  <c r="J83" i="1"/>
  <c r="I83" i="1"/>
  <c r="J82" i="1"/>
  <c r="K82" i="1" s="1"/>
  <c r="I82" i="1"/>
  <c r="J81" i="1"/>
  <c r="K81" i="1" s="1"/>
  <c r="I81" i="1"/>
  <c r="K80" i="1"/>
  <c r="J80" i="1"/>
  <c r="I80" i="1"/>
  <c r="K79" i="1"/>
  <c r="J79" i="1"/>
  <c r="I79" i="1"/>
  <c r="J78" i="1"/>
  <c r="K78" i="1" s="1"/>
  <c r="I78" i="1"/>
  <c r="J77" i="1"/>
  <c r="K77" i="1" s="1"/>
  <c r="I77" i="1"/>
  <c r="K76" i="1"/>
  <c r="J76" i="1"/>
  <c r="I76" i="1"/>
  <c r="K75" i="1"/>
  <c r="J75" i="1"/>
  <c r="I75" i="1"/>
  <c r="J74" i="1"/>
  <c r="K74" i="1" s="1"/>
  <c r="I74" i="1"/>
  <c r="J73" i="1"/>
  <c r="K73" i="1" s="1"/>
  <c r="I73" i="1"/>
  <c r="K72" i="1"/>
  <c r="J72" i="1"/>
  <c r="I72" i="1"/>
  <c r="K71" i="1"/>
  <c r="J71" i="1"/>
  <c r="I71" i="1"/>
  <c r="J70" i="1"/>
  <c r="K70" i="1" s="1"/>
  <c r="I70" i="1"/>
  <c r="J69" i="1"/>
  <c r="K69" i="1" s="1"/>
  <c r="I69" i="1"/>
  <c r="K68" i="1"/>
  <c r="J68" i="1"/>
  <c r="I68" i="1"/>
  <c r="K67" i="1"/>
  <c r="J67" i="1"/>
  <c r="I67" i="1"/>
  <c r="J66" i="1"/>
  <c r="K66" i="1" s="1"/>
  <c r="I66" i="1"/>
  <c r="J65" i="1"/>
  <c r="K65" i="1" s="1"/>
  <c r="I65" i="1"/>
  <c r="K64" i="1"/>
  <c r="J64" i="1"/>
  <c r="I64" i="1"/>
  <c r="K63" i="1"/>
  <c r="J63" i="1"/>
  <c r="I63" i="1"/>
  <c r="K62" i="1"/>
  <c r="J62" i="1"/>
  <c r="I62" i="1"/>
  <c r="J61" i="1"/>
  <c r="K61" i="1" s="1"/>
  <c r="I61" i="1"/>
  <c r="K60" i="1"/>
  <c r="J60" i="1"/>
  <c r="I60" i="1"/>
  <c r="K59" i="1"/>
  <c r="J59" i="1"/>
  <c r="I59" i="1"/>
  <c r="K58" i="1"/>
  <c r="J58" i="1"/>
  <c r="I58" i="1"/>
  <c r="J57" i="1"/>
  <c r="K57" i="1" s="1"/>
  <c r="I57" i="1"/>
  <c r="K56" i="1"/>
  <c r="J56" i="1"/>
  <c r="I56" i="1"/>
  <c r="K55" i="1"/>
  <c r="J55" i="1"/>
  <c r="I55" i="1"/>
  <c r="J54" i="1"/>
  <c r="K54" i="1" s="1"/>
  <c r="I54" i="1"/>
  <c r="J53" i="1"/>
  <c r="K53" i="1" s="1"/>
  <c r="I53" i="1"/>
  <c r="K52" i="1"/>
  <c r="J52" i="1"/>
  <c r="I52" i="1"/>
  <c r="K51" i="1"/>
  <c r="J51" i="1"/>
  <c r="I51" i="1"/>
  <c r="J50" i="1"/>
  <c r="K50" i="1" s="1"/>
  <c r="I50" i="1"/>
  <c r="J49" i="1"/>
  <c r="K49" i="1" s="1"/>
  <c r="I49" i="1"/>
  <c r="K48" i="1"/>
  <c r="J48" i="1"/>
  <c r="I48" i="1"/>
  <c r="K47" i="1"/>
  <c r="J47" i="1"/>
  <c r="I47" i="1"/>
  <c r="K46" i="1"/>
  <c r="J46" i="1"/>
  <c r="I46" i="1"/>
  <c r="J45" i="1"/>
  <c r="K45" i="1" s="1"/>
  <c r="I45" i="1"/>
  <c r="K44" i="1"/>
  <c r="J44" i="1"/>
  <c r="I44" i="1"/>
  <c r="K43" i="1"/>
  <c r="J43" i="1"/>
  <c r="I43" i="1"/>
  <c r="K42" i="1"/>
  <c r="J42" i="1"/>
  <c r="I42" i="1"/>
  <c r="J41" i="1"/>
  <c r="K41" i="1" s="1"/>
  <c r="I41" i="1"/>
  <c r="K40" i="1"/>
  <c r="J40" i="1"/>
  <c r="I40" i="1"/>
  <c r="K39" i="1"/>
  <c r="J39" i="1"/>
  <c r="I39" i="1"/>
  <c r="J38" i="1"/>
  <c r="K38" i="1" s="1"/>
  <c r="I38" i="1"/>
  <c r="J37" i="1"/>
  <c r="K37" i="1" s="1"/>
  <c r="I37" i="1"/>
  <c r="K36" i="1"/>
  <c r="J36" i="1"/>
  <c r="I36" i="1"/>
  <c r="J35" i="1"/>
  <c r="K35" i="1" s="1"/>
  <c r="I35" i="1"/>
  <c r="J34" i="1"/>
  <c r="K34" i="1" s="1"/>
  <c r="I34" i="1"/>
  <c r="J33" i="1"/>
  <c r="K33" i="1" s="1"/>
  <c r="I33" i="1"/>
  <c r="K32" i="1"/>
  <c r="J32" i="1"/>
  <c r="I32" i="1"/>
  <c r="J31" i="1"/>
  <c r="K31" i="1" s="1"/>
  <c r="I31" i="1"/>
  <c r="K30" i="1"/>
  <c r="J30" i="1"/>
  <c r="I30" i="1"/>
  <c r="J29" i="1"/>
  <c r="K29" i="1" s="1"/>
  <c r="I29" i="1"/>
  <c r="K28" i="1"/>
  <c r="J28" i="1"/>
  <c r="I28" i="1"/>
  <c r="K27" i="1"/>
  <c r="J27" i="1"/>
  <c r="I27" i="1"/>
  <c r="K26" i="1"/>
  <c r="J26" i="1"/>
  <c r="I26" i="1"/>
  <c r="J25" i="1"/>
  <c r="K25" i="1" s="1"/>
  <c r="I25" i="1"/>
  <c r="K24" i="1"/>
  <c r="J24" i="1"/>
  <c r="I24" i="1"/>
  <c r="K23" i="1"/>
  <c r="J23" i="1"/>
  <c r="I23" i="1"/>
  <c r="J22" i="1"/>
  <c r="K22" i="1" s="1"/>
  <c r="I22" i="1"/>
  <c r="J21" i="1"/>
  <c r="K21" i="1" s="1"/>
  <c r="I21" i="1"/>
  <c r="K20" i="1"/>
  <c r="J20" i="1"/>
  <c r="I20" i="1"/>
  <c r="J19" i="1"/>
  <c r="K19" i="1" s="1"/>
  <c r="I19" i="1"/>
  <c r="J18" i="1"/>
  <c r="K18" i="1" s="1"/>
  <c r="I18" i="1"/>
  <c r="J17" i="1"/>
  <c r="K17" i="1" s="1"/>
  <c r="I17" i="1"/>
  <c r="K16" i="1"/>
  <c r="J16" i="1"/>
  <c r="I16" i="1"/>
  <c r="J15" i="1"/>
  <c r="K15" i="1" s="1"/>
  <c r="I15" i="1"/>
  <c r="K14" i="1"/>
  <c r="J14" i="1"/>
  <c r="I14" i="1"/>
  <c r="J13" i="1"/>
  <c r="K13" i="1" s="1"/>
  <c r="I13" i="1"/>
  <c r="K12" i="1"/>
  <c r="J12" i="1"/>
  <c r="I12" i="1"/>
  <c r="K11" i="1"/>
  <c r="J11" i="1"/>
  <c r="I11" i="1"/>
  <c r="K10" i="1"/>
  <c r="J10" i="1"/>
  <c r="I10" i="1"/>
  <c r="J9" i="1"/>
  <c r="K9" i="1" s="1"/>
  <c r="I9" i="1"/>
  <c r="K8" i="1"/>
  <c r="J8" i="1"/>
  <c r="I8" i="1"/>
  <c r="K7" i="1"/>
  <c r="J7" i="1"/>
  <c r="I7" i="1"/>
  <c r="B209" i="1" l="1"/>
  <c r="B211" i="1"/>
  <c r="B210" i="1"/>
</calcChain>
</file>

<file path=xl/sharedStrings.xml><?xml version="1.0" encoding="utf-8"?>
<sst xmlns="http://schemas.openxmlformats.org/spreadsheetml/2006/main" count="680" uniqueCount="405">
  <si>
    <t>UID</t>
  </si>
  <si>
    <t>English</t>
  </si>
  <si>
    <t>Math</t>
  </si>
  <si>
    <t>Science</t>
  </si>
  <si>
    <t>UID493698</t>
  </si>
  <si>
    <t>UID538831</t>
  </si>
  <si>
    <t>UID476237</t>
  </si>
  <si>
    <t>UID681669</t>
  </si>
  <si>
    <t>UID692232</t>
  </si>
  <si>
    <t>UID980918</t>
  </si>
  <si>
    <t>UID273177</t>
  </si>
  <si>
    <t>UID435492</t>
  </si>
  <si>
    <t>UID550813</t>
  </si>
  <si>
    <t>UID341998</t>
  </si>
  <si>
    <t>UID331097</t>
  </si>
  <si>
    <t>UID679015</t>
  </si>
  <si>
    <t>UID952416</t>
  </si>
  <si>
    <t>UID403804</t>
  </si>
  <si>
    <t>UID899802</t>
  </si>
  <si>
    <t>UID926460</t>
  </si>
  <si>
    <t>UID835056</t>
  </si>
  <si>
    <t>UID109908</t>
  </si>
  <si>
    <t>UID114402</t>
  </si>
  <si>
    <t>UID328607</t>
  </si>
  <si>
    <t>UID722258</t>
  </si>
  <si>
    <t>UID482131</t>
  </si>
  <si>
    <t>UID702035</t>
  </si>
  <si>
    <t>UID999741</t>
  </si>
  <si>
    <t>UID384655</t>
  </si>
  <si>
    <t>UID589744</t>
  </si>
  <si>
    <t>UID867196</t>
  </si>
  <si>
    <t>UID274058</t>
  </si>
  <si>
    <t>UID516235</t>
  </si>
  <si>
    <t>UID165469</t>
  </si>
  <si>
    <t>UID515221</t>
  </si>
  <si>
    <t>UID349388</t>
  </si>
  <si>
    <t>UID228817</t>
  </si>
  <si>
    <t>UID370524</t>
  </si>
  <si>
    <t>UID682421</t>
  </si>
  <si>
    <t>UID383091</t>
  </si>
  <si>
    <t>UID613898</t>
  </si>
  <si>
    <t>UID724478</t>
  </si>
  <si>
    <t>UID168124</t>
  </si>
  <si>
    <t>UID481831</t>
  </si>
  <si>
    <t>UID381704</t>
  </si>
  <si>
    <t>UID537942</t>
  </si>
  <si>
    <t>UID209353</t>
  </si>
  <si>
    <t>UID290807</t>
  </si>
  <si>
    <t>UID570988</t>
  </si>
  <si>
    <t>UID187338</t>
  </si>
  <si>
    <t>UID196831</t>
  </si>
  <si>
    <t>UID250651</t>
  </si>
  <si>
    <t>UID344884</t>
  </si>
  <si>
    <t>UID668351</t>
  </si>
  <si>
    <t>UID542451</t>
  </si>
  <si>
    <t>UID230614</t>
  </si>
  <si>
    <t>UID265112</t>
  </si>
  <si>
    <t>UID183186</t>
  </si>
  <si>
    <t>UID542763</t>
  </si>
  <si>
    <t>UID362136</t>
  </si>
  <si>
    <t>UID630469</t>
  </si>
  <si>
    <t>UID520502</t>
  </si>
  <si>
    <t>UID334385</t>
  </si>
  <si>
    <t>UID760168</t>
  </si>
  <si>
    <t>UID528942</t>
  </si>
  <si>
    <t>UID636782</t>
  </si>
  <si>
    <t>UID701584</t>
  </si>
  <si>
    <t>UID374061</t>
  </si>
  <si>
    <t>UID348771</t>
  </si>
  <si>
    <t>UID693720</t>
  </si>
  <si>
    <t>UID557920</t>
  </si>
  <si>
    <t>UID399863</t>
  </si>
  <si>
    <t>UID978953</t>
  </si>
  <si>
    <t>UID799996</t>
  </si>
  <si>
    <t>UID990852</t>
  </si>
  <si>
    <t>UID280363</t>
  </si>
  <si>
    <t>UID685751</t>
  </si>
  <si>
    <t>UID236445</t>
  </si>
  <si>
    <t>UID464342</t>
  </si>
  <si>
    <t>UID497839</t>
  </si>
  <si>
    <t>UID745494</t>
  </si>
  <si>
    <t>UID613151</t>
  </si>
  <si>
    <t>UID429013</t>
  </si>
  <si>
    <t>UID591849</t>
  </si>
  <si>
    <t>UID746903</t>
  </si>
  <si>
    <t>UID837960</t>
  </si>
  <si>
    <t>UID305416</t>
  </si>
  <si>
    <t>UID939146</t>
  </si>
  <si>
    <t>UID407339</t>
  </si>
  <si>
    <t>UID828103</t>
  </si>
  <si>
    <t>UID339166</t>
  </si>
  <si>
    <t>UID298780</t>
  </si>
  <si>
    <t>UID386791</t>
  </si>
  <si>
    <t>UID632266</t>
  </si>
  <si>
    <t>UID998527</t>
  </si>
  <si>
    <t>UID889813</t>
  </si>
  <si>
    <t>UID452566</t>
  </si>
  <si>
    <t>UID180427</t>
  </si>
  <si>
    <t>UID906574</t>
  </si>
  <si>
    <t>UID558906</t>
  </si>
  <si>
    <t>UID433043</t>
  </si>
  <si>
    <t>UID895045</t>
  </si>
  <si>
    <t>UID851674</t>
  </si>
  <si>
    <t>UID194579</t>
  </si>
  <si>
    <t>UID396486</t>
  </si>
  <si>
    <t>UID427641</t>
  </si>
  <si>
    <t>UID681577</t>
  </si>
  <si>
    <t>UID554543</t>
  </si>
  <si>
    <t>UID190029</t>
  </si>
  <si>
    <t>UID174394</t>
  </si>
  <si>
    <t>UID696780</t>
  </si>
  <si>
    <t>UID710040</t>
  </si>
  <si>
    <t>UID190107</t>
  </si>
  <si>
    <t>UID997447</t>
  </si>
  <si>
    <t>UID455266</t>
  </si>
  <si>
    <t>UID134344</t>
  </si>
  <si>
    <t>UID756641</t>
  </si>
  <si>
    <t>UID989744</t>
  </si>
  <si>
    <t>UID225432</t>
  </si>
  <si>
    <t>UID303040</t>
  </si>
  <si>
    <t>UID633269</t>
  </si>
  <si>
    <t>UID804532</t>
  </si>
  <si>
    <t>UID515814</t>
  </si>
  <si>
    <t>UID349669</t>
  </si>
  <si>
    <t>UID421086</t>
  </si>
  <si>
    <t>UID239061</t>
  </si>
  <si>
    <t>UID241127</t>
  </si>
  <si>
    <t>UID523038</t>
  </si>
  <si>
    <t>UID846964</t>
  </si>
  <si>
    <t>UID168437</t>
  </si>
  <si>
    <t>UID670416</t>
  </si>
  <si>
    <t>UID715125</t>
  </si>
  <si>
    <t>UID605195</t>
  </si>
  <si>
    <t>UID699541</t>
  </si>
  <si>
    <t>UID533169</t>
  </si>
  <si>
    <t>UID303199</t>
  </si>
  <si>
    <t>UID673376</t>
  </si>
  <si>
    <t>UID772914</t>
  </si>
  <si>
    <t>UID457192</t>
  </si>
  <si>
    <t>UID247022</t>
  </si>
  <si>
    <t>UID274866</t>
  </si>
  <si>
    <t>UID775334</t>
  </si>
  <si>
    <t>UID377056</t>
  </si>
  <si>
    <t>UID795431</t>
  </si>
  <si>
    <t>UID927835</t>
  </si>
  <si>
    <t>UID274633</t>
  </si>
  <si>
    <t>UID553904</t>
  </si>
  <si>
    <t>UID858849</t>
  </si>
  <si>
    <t>UID120705</t>
  </si>
  <si>
    <t>UID645218</t>
  </si>
  <si>
    <t>UID672059</t>
  </si>
  <si>
    <t>UID376804</t>
  </si>
  <si>
    <t>UID974162</t>
  </si>
  <si>
    <t>UID653316</t>
  </si>
  <si>
    <t>UID940263</t>
  </si>
  <si>
    <t>UID626996</t>
  </si>
  <si>
    <t>UID804984</t>
  </si>
  <si>
    <t>UID558990</t>
  </si>
  <si>
    <t>UID776614</t>
  </si>
  <si>
    <t>UID896881</t>
  </si>
  <si>
    <t>UID761154</t>
  </si>
  <si>
    <t>UID327090</t>
  </si>
  <si>
    <t>UID951226</t>
  </si>
  <si>
    <t>UID819260</t>
  </si>
  <si>
    <t>UID586705</t>
  </si>
  <si>
    <t>UID263835</t>
  </si>
  <si>
    <t>UID196084</t>
  </si>
  <si>
    <t>UID846477</t>
  </si>
  <si>
    <t>UID626528</t>
  </si>
  <si>
    <t>UID233555</t>
  </si>
  <si>
    <t>UID531910</t>
  </si>
  <si>
    <t>UID467721</t>
  </si>
  <si>
    <t>UID339072</t>
  </si>
  <si>
    <t>UID746588</t>
  </si>
  <si>
    <t>UID487201</t>
  </si>
  <si>
    <t>UID666135</t>
  </si>
  <si>
    <t>UID261936</t>
  </si>
  <si>
    <t>UID438740</t>
  </si>
  <si>
    <t>UID172854</t>
  </si>
  <si>
    <t>UID880603</t>
  </si>
  <si>
    <t>UID507229</t>
  </si>
  <si>
    <t>UID339959</t>
  </si>
  <si>
    <t>UID240827</t>
  </si>
  <si>
    <t>UID618779</t>
  </si>
  <si>
    <t>UID829758</t>
  </si>
  <si>
    <t>UID742703</t>
  </si>
  <si>
    <t>UID800784</t>
  </si>
  <si>
    <t>UID972160</t>
  </si>
  <si>
    <t>UID376212</t>
  </si>
  <si>
    <t>UID761404</t>
  </si>
  <si>
    <t>UID681108</t>
  </si>
  <si>
    <t>UID101453</t>
  </si>
  <si>
    <t>UID767152</t>
  </si>
  <si>
    <t>UID348016</t>
  </si>
  <si>
    <t>UID855349</t>
  </si>
  <si>
    <t>UID645610</t>
  </si>
  <si>
    <t>UID321837</t>
  </si>
  <si>
    <t>UID404286</t>
  </si>
  <si>
    <t>UID491919</t>
  </si>
  <si>
    <t>UID494671</t>
  </si>
  <si>
    <t>UID506240</t>
  </si>
  <si>
    <t>UID794827</t>
  </si>
  <si>
    <t>UID933821</t>
  </si>
  <si>
    <t>UID264847</t>
  </si>
  <si>
    <t>Vihaan Ghosh</t>
  </si>
  <si>
    <t>Vihaan Kumar</t>
  </si>
  <si>
    <t>Aarav Mishra</t>
  </si>
  <si>
    <t>Rohan Patel</t>
  </si>
  <si>
    <t>Kavya Mishra</t>
  </si>
  <si>
    <t>Aditi Verma</t>
  </si>
  <si>
    <t>Sneha Pandey</t>
  </si>
  <si>
    <t>Isha Sharma</t>
  </si>
  <si>
    <t>Saanvi Mehta</t>
  </si>
  <si>
    <t>Ananya Pandey</t>
  </si>
  <si>
    <t>Arjun Patel</t>
  </si>
  <si>
    <t>Riya Pillai</t>
  </si>
  <si>
    <t>Sneha Patel</t>
  </si>
  <si>
    <t>Rohan Gupta</t>
  </si>
  <si>
    <t>Riya Nath</t>
  </si>
  <si>
    <t>Aditi Sharma</t>
  </si>
  <si>
    <t>Rohan Joshi</t>
  </si>
  <si>
    <t>Sneha Joshi</t>
  </si>
  <si>
    <t>Ananya Yadav</t>
  </si>
  <si>
    <t>Rohan Kumar</t>
  </si>
  <si>
    <t>Karthik Gupta</t>
  </si>
  <si>
    <t>Isha Joshi</t>
  </si>
  <si>
    <t>Isha Reddy</t>
  </si>
  <si>
    <t>Saanvi Patel</t>
  </si>
  <si>
    <t>Riya Singh</t>
  </si>
  <si>
    <t>Kavya Thakur</t>
  </si>
  <si>
    <t>Arjun Nath</t>
  </si>
  <si>
    <t>Priya Sharma</t>
  </si>
  <si>
    <t>Karthik Mehta</t>
  </si>
  <si>
    <t>Sai Sharma</t>
  </si>
  <si>
    <t>Diya Kumar</t>
  </si>
  <si>
    <t>Krishna Nath</t>
  </si>
  <si>
    <t>Diya Chopra</t>
  </si>
  <si>
    <t>Saanvi Pandey</t>
  </si>
  <si>
    <t>Ishaan Pillai</t>
  </si>
  <si>
    <t>Sai Mishra</t>
  </si>
  <si>
    <t>Krishna Joshi</t>
  </si>
  <si>
    <t>Isha Gupta</t>
  </si>
  <si>
    <t>Riya Bose</t>
  </si>
  <si>
    <t>Aditi Mishra</t>
  </si>
  <si>
    <t>Karthik Ghosh</t>
  </si>
  <si>
    <t>Krishna Chopra</t>
  </si>
  <si>
    <t>Aditya Sharma</t>
  </si>
  <si>
    <t>Sneha Ghosh</t>
  </si>
  <si>
    <t>Arjun Mehta</t>
  </si>
  <si>
    <t>Krishna Verma</t>
  </si>
  <si>
    <t>Aarav Sharma</t>
  </si>
  <si>
    <t>Ishaan Joshi</t>
  </si>
  <si>
    <t>Priya Yadav</t>
  </si>
  <si>
    <t>Isha Yadav</t>
  </si>
  <si>
    <t>Rohan Reddy</t>
  </si>
  <si>
    <t>Krishna Patel</t>
  </si>
  <si>
    <t>Karthik Mishra</t>
  </si>
  <si>
    <t>Aarav Bose</t>
  </si>
  <si>
    <t>Vihaan Bose</t>
  </si>
  <si>
    <t>Nisha Gupta</t>
  </si>
  <si>
    <t>Riya Thakur</t>
  </si>
  <si>
    <t>Aarav Yadav</t>
  </si>
  <si>
    <t>Riya Pandey</t>
  </si>
  <si>
    <t>Priya Bose</t>
  </si>
  <si>
    <t>Aditi Chopra</t>
  </si>
  <si>
    <t>Diya Verma</t>
  </si>
  <si>
    <t>Arjun Ghosh</t>
  </si>
  <si>
    <t>Sai Reddy</t>
  </si>
  <si>
    <t>Arjun Sharma</t>
  </si>
  <si>
    <t>Aditi Kumar</t>
  </si>
  <si>
    <t>Ananya Gupta</t>
  </si>
  <si>
    <t>Isha Patel</t>
  </si>
  <si>
    <t>Isha Pillai</t>
  </si>
  <si>
    <t>Vivaan Joshi</t>
  </si>
  <si>
    <t>Vivaan Singh</t>
  </si>
  <si>
    <t>Vivaan Kumar</t>
  </si>
  <si>
    <t>Isha Verma</t>
  </si>
  <si>
    <t>Vihaan Gupta</t>
  </si>
  <si>
    <t>Ishaan Gupta</t>
  </si>
  <si>
    <t>Priya Nath</t>
  </si>
  <si>
    <t>Aditya Reddy</t>
  </si>
  <si>
    <t>Vihaan Yadav</t>
  </si>
  <si>
    <t>Aditya Singh</t>
  </si>
  <si>
    <t>Sai Nath</t>
  </si>
  <si>
    <t>Ananya Verma</t>
  </si>
  <si>
    <t>Aditi Das</t>
  </si>
  <si>
    <t>Riya Yadav</t>
  </si>
  <si>
    <t>Ishaan Chopra</t>
  </si>
  <si>
    <t>Priya Singh</t>
  </si>
  <si>
    <t>Aditi Gupta</t>
  </si>
  <si>
    <t>Aditi Ghosh</t>
  </si>
  <si>
    <t>Kavya Mehta</t>
  </si>
  <si>
    <t>Riya Das</t>
  </si>
  <si>
    <t>Diya Nath</t>
  </si>
  <si>
    <t>Krishna Gupta</t>
  </si>
  <si>
    <t>Riya Gupta</t>
  </si>
  <si>
    <t>Saanvi Das</t>
  </si>
  <si>
    <t>Arjun Reddy</t>
  </si>
  <si>
    <t>Vivaan Das</t>
  </si>
  <si>
    <t>Kavya Chopra</t>
  </si>
  <si>
    <t>Priya Nair</t>
  </si>
  <si>
    <t>Aditya Verma</t>
  </si>
  <si>
    <t>Sai Singh</t>
  </si>
  <si>
    <t>Aarav Das</t>
  </si>
  <si>
    <t>Diya Nair</t>
  </si>
  <si>
    <t>Ananya Kumar</t>
  </si>
  <si>
    <t>Krishna Yadav</t>
  </si>
  <si>
    <t>Diya Ghosh</t>
  </si>
  <si>
    <t>Arjun Yadav</t>
  </si>
  <si>
    <t>Kavya Patel</t>
  </si>
  <si>
    <t>Nisha Mishra</t>
  </si>
  <si>
    <t>Vihaan Das</t>
  </si>
  <si>
    <t>Aarav Pandey</t>
  </si>
  <si>
    <t>Ananya Nair</t>
  </si>
  <si>
    <t>Vivaan Sharma</t>
  </si>
  <si>
    <t>Karthik Nath</t>
  </si>
  <si>
    <t>Ananya Mehta</t>
  </si>
  <si>
    <t>Arjun Thakur</t>
  </si>
  <si>
    <t>Sneha Singh</t>
  </si>
  <si>
    <t>Diya Patel</t>
  </si>
  <si>
    <t>Rohan Pillai</t>
  </si>
  <si>
    <t>Sneha Sharma</t>
  </si>
  <si>
    <t>Isha Das</t>
  </si>
  <si>
    <t>Vihaan Verma</t>
  </si>
  <si>
    <t>Saanvi Thakur</t>
  </si>
  <si>
    <t>Krishna Mehta</t>
  </si>
  <si>
    <t>Sneha Mehta</t>
  </si>
  <si>
    <t>Aditya Ghosh</t>
  </si>
  <si>
    <t>Aditya Joshi</t>
  </si>
  <si>
    <t>Aarav Nath</t>
  </si>
  <si>
    <t>Kavya Verma</t>
  </si>
  <si>
    <t>Aarav Chopra</t>
  </si>
  <si>
    <t>Ishaan Patel</t>
  </si>
  <si>
    <t>Rohan Yadav</t>
  </si>
  <si>
    <t>Nisha Mehta</t>
  </si>
  <si>
    <t>Aditya Kumar</t>
  </si>
  <si>
    <t>Aarav Joshi</t>
  </si>
  <si>
    <t>Karthik Joshi</t>
  </si>
  <si>
    <t>Saanvi Yadav</t>
  </si>
  <si>
    <t>Nisha Bose</t>
  </si>
  <si>
    <t>Priya Thakur</t>
  </si>
  <si>
    <t>Arjun Pandey</t>
  </si>
  <si>
    <t>Vivaan Verma</t>
  </si>
  <si>
    <t>Aditya Gupta</t>
  </si>
  <si>
    <t>Krishna Ghosh</t>
  </si>
  <si>
    <t>Aarav Patel</t>
  </si>
  <si>
    <t>Ananya Nath</t>
  </si>
  <si>
    <t>Isha Nair</t>
  </si>
  <si>
    <t>Kavya Sharma</t>
  </si>
  <si>
    <t>Isha Pandey</t>
  </si>
  <si>
    <t>Arjun Das</t>
  </si>
  <si>
    <t>Vivaan Chopra</t>
  </si>
  <si>
    <t>Sai Mehta</t>
  </si>
  <si>
    <t>Karthik Verma</t>
  </si>
  <si>
    <t>Vivaan Pandey</t>
  </si>
  <si>
    <t>Diya Pandey</t>
  </si>
  <si>
    <t>Vivaan Reddy</t>
  </si>
  <si>
    <t>Ananya Ghosh</t>
  </si>
  <si>
    <t>Ishaan Das</t>
  </si>
  <si>
    <t>Vihaan Reddy</t>
  </si>
  <si>
    <r>
      <rPr>
        <b/>
        <sz val="11"/>
        <color theme="1"/>
        <rFont val="Calibri"/>
        <family val="2"/>
        <scheme val="minor"/>
      </rPr>
      <t>Title</t>
    </r>
    <r>
      <rPr>
        <sz val="11"/>
        <color theme="1"/>
        <rFont val="Calibri"/>
        <family val="2"/>
        <scheme val="minor"/>
      </rPr>
      <t>:- Student Performance Tracker Using Microsoft Excel</t>
    </r>
  </si>
  <si>
    <r>
      <rPr>
        <b/>
        <sz val="11"/>
        <color theme="1"/>
        <rFont val="Calibri"/>
        <family val="2"/>
        <scheme val="minor"/>
      </rPr>
      <t>Aim</t>
    </r>
    <r>
      <rPr>
        <sz val="11"/>
        <color theme="1"/>
        <rFont val="Calibri"/>
        <family val="2"/>
        <scheme val="minor"/>
      </rPr>
      <t>:- To create a smart Excel-based system that records student marks, calculates averages and grades, and provides visual insights into performance trends.</t>
    </r>
  </si>
  <si>
    <r>
      <rPr>
        <b/>
        <sz val="11"/>
        <color theme="1"/>
        <rFont val="Calibri"/>
        <family val="2"/>
        <scheme val="minor"/>
      </rPr>
      <t>Objective:</t>
    </r>
    <r>
      <rPr>
        <sz val="11"/>
        <color theme="1"/>
        <rFont val="Calibri"/>
        <family val="2"/>
        <scheme val="minor"/>
      </rPr>
      <t>- The objective is to automate the student result management process using Microsoft Excel formulas, charts, and conditional formatting.</t>
    </r>
  </si>
  <si>
    <t>Name</t>
  </si>
  <si>
    <t>Programming</t>
  </si>
  <si>
    <t>Economics</t>
  </si>
  <si>
    <t>Class</t>
  </si>
  <si>
    <t>Total</t>
  </si>
  <si>
    <t>Percentage</t>
  </si>
  <si>
    <t>Grade</t>
  </si>
  <si>
    <t>12</t>
  </si>
  <si>
    <t>Total Students</t>
  </si>
  <si>
    <t>Class Average</t>
  </si>
  <si>
    <t>Highest Average</t>
  </si>
  <si>
    <t>Lowest Average</t>
  </si>
  <si>
    <t>Grades</t>
  </si>
  <si>
    <t>count of grades</t>
  </si>
  <si>
    <t>A</t>
  </si>
  <si>
    <t>B</t>
  </si>
  <si>
    <t>C</t>
  </si>
  <si>
    <t>D</t>
  </si>
  <si>
    <t>Fail</t>
  </si>
  <si>
    <t>Subjects</t>
  </si>
  <si>
    <t>Average Marks</t>
  </si>
  <si>
    <t>Highest Marks</t>
  </si>
  <si>
    <t>Lowest Marks</t>
  </si>
  <si>
    <t>Top 10 Students</t>
  </si>
  <si>
    <t>Student Name</t>
  </si>
  <si>
    <t>Average</t>
  </si>
  <si>
    <t>UID1086</t>
  </si>
  <si>
    <t>Kabir Sinha</t>
  </si>
  <si>
    <t>UID1016</t>
  </si>
  <si>
    <t>Krishna Sharma</t>
  </si>
  <si>
    <t>UID1183</t>
  </si>
  <si>
    <t>UID1196</t>
  </si>
  <si>
    <t>Rohan Thakur</t>
  </si>
  <si>
    <t>UID1166</t>
  </si>
  <si>
    <t>UID1096</t>
  </si>
  <si>
    <t>Myra Mehta</t>
  </si>
  <si>
    <t>UID1070</t>
  </si>
  <si>
    <t>UID1164</t>
  </si>
  <si>
    <t>UID1176</t>
  </si>
  <si>
    <t>Kiara Bansal</t>
  </si>
  <si>
    <t>UID1073</t>
  </si>
  <si>
    <t>Aditya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</si>
</sst>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name val="Calibri"/>
      <family val="2"/>
    </font>
    <font>
      <i/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0" borderId="1" xfId="0" applyBorder="1" applyAlignment="1">
      <alignment horizontal="center"/>
    </xf>
    <xf numFmtId="0" fontId="0" fillId="0" borderId="2" xfId="0" applyBorder="1"/>
    <xf numFmtId="0" fontId="4" fillId="0" borderId="1" xfId="0" applyFont="1" applyBorder="1"/>
    <xf numFmtId="0" fontId="0" fillId="0" borderId="1" xfId="0" applyBorder="1"/>
    <xf numFmtId="0" fontId="1" fillId="2" borderId="3" xfId="0" applyFont="1" applyFill="1" applyBorder="1"/>
    <xf numFmtId="0" fontId="1" fillId="4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1" xfId="0" applyFont="1" applyBorder="1"/>
    <xf numFmtId="0" fontId="5" fillId="6" borderId="1" xfId="0" applyFont="1" applyFill="1" applyBorder="1"/>
    <xf numFmtId="0" fontId="1" fillId="7" borderId="1" xfId="0" applyFont="1" applyFill="1" applyBorder="1"/>
    <xf numFmtId="0" fontId="7" fillId="7" borderId="1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886145404663923E-2"/>
          <c:y val="8.5321081772905594E-2"/>
          <c:w val="0.9622770919067215"/>
          <c:h val="0.808088023891006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'STUDENTS GRADES'!$B$2</c:f>
              <c:strCache>
                <c:ptCount val="1"/>
                <c:pt idx="0">
                  <c:v>count of grades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'STUDENTS GRADES'!$A$3:$A$7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Fail</c:v>
                </c:pt>
              </c:strCache>
            </c:strRef>
          </c:cat>
          <c:val>
            <c:numRef>
              <c:f>'STUDENTS GRADES'!$B$3:$B$7</c:f>
              <c:numCache>
                <c:formatCode>General</c:formatCode>
                <c:ptCount val="5"/>
                <c:pt idx="0">
                  <c:v>33</c:v>
                </c:pt>
                <c:pt idx="1">
                  <c:v>117</c:v>
                </c:pt>
                <c:pt idx="2">
                  <c:v>49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D-48C6-952B-EA27537B28F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859210480"/>
        <c:axId val="1859197520"/>
      </c:barChart>
      <c:catAx>
        <c:axId val="185921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197520"/>
        <c:crosses val="autoZero"/>
        <c:auto val="1"/>
        <c:lblAlgn val="ctr"/>
        <c:lblOffset val="100"/>
        <c:noMultiLvlLbl val="0"/>
      </c:catAx>
      <c:valAx>
        <c:axId val="18591975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9210480"/>
        <c:crosses val="autoZero"/>
        <c:crossBetween val="between"/>
      </c:valAx>
      <c:spPr>
        <a:solidFill>
          <a:schemeClr val="accent4">
            <a:lumMod val="40000"/>
            <a:lumOff val="6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REPORT'!$B$3</c:f>
              <c:strCache>
                <c:ptCount val="1"/>
                <c:pt idx="0">
                  <c:v>Average 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REPORT'!$A$4:$A$8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Programming</c:v>
                </c:pt>
                <c:pt idx="4">
                  <c:v>Economics</c:v>
                </c:pt>
              </c:strCache>
            </c:strRef>
          </c:cat>
          <c:val>
            <c:numRef>
              <c:f>'SUMMARY REPORT'!$B$4:$B$8</c:f>
              <c:numCache>
                <c:formatCode>General</c:formatCode>
                <c:ptCount val="5"/>
                <c:pt idx="0" formatCode="0.00">
                  <c:v>66.415000000000006</c:v>
                </c:pt>
                <c:pt idx="1">
                  <c:v>66.28</c:v>
                </c:pt>
                <c:pt idx="2" formatCode="0.00">
                  <c:v>64.371859296482413</c:v>
                </c:pt>
                <c:pt idx="3" formatCode="0.00">
                  <c:v>68.661616161616166</c:v>
                </c:pt>
                <c:pt idx="4" formatCode="0.00">
                  <c:v>64.583756345177662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0-4E17-A8C5-928F9710F72A}"/>
            </c:ext>
          </c:extLst>
        </c:ser>
        <c:ser>
          <c:idx val="1"/>
          <c:order val="1"/>
          <c:tx>
            <c:strRef>
              <c:f>'SUMMARY REPORT'!$C$3</c:f>
              <c:strCache>
                <c:ptCount val="1"/>
                <c:pt idx="0">
                  <c:v>Highest 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'SUMMARY REPORT'!$A$4:$A$8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Programming</c:v>
                </c:pt>
                <c:pt idx="4">
                  <c:v>Economics</c:v>
                </c:pt>
              </c:strCache>
            </c:strRef>
          </c:cat>
          <c:val>
            <c:numRef>
              <c:f>'SUMMARY REPORT'!$C$4:$C$8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00-4E17-A8C5-928F9710F72A}"/>
            </c:ext>
          </c:extLst>
        </c:ser>
        <c:ser>
          <c:idx val="2"/>
          <c:order val="2"/>
          <c:tx>
            <c:strRef>
              <c:f>'SUMMARY REPORT'!$D$3</c:f>
              <c:strCache>
                <c:ptCount val="1"/>
                <c:pt idx="0">
                  <c:v>Lowest Marks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'SUMMARY REPORT'!$A$4:$A$8</c:f>
              <c:strCache>
                <c:ptCount val="5"/>
                <c:pt idx="0">
                  <c:v>Math</c:v>
                </c:pt>
                <c:pt idx="1">
                  <c:v>Science</c:v>
                </c:pt>
                <c:pt idx="2">
                  <c:v>English</c:v>
                </c:pt>
                <c:pt idx="3">
                  <c:v>Programming</c:v>
                </c:pt>
                <c:pt idx="4">
                  <c:v>Economics</c:v>
                </c:pt>
              </c:strCache>
            </c:strRef>
          </c:cat>
          <c:val>
            <c:numRef>
              <c:f>'SUMMARY REPORT'!$D$4:$D$8</c:f>
              <c:numCache>
                <c:formatCode>General</c:formatCode>
                <c:ptCount val="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00-4E17-A8C5-928F9710F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4763936"/>
        <c:axId val="1904773536"/>
      </c:barChart>
      <c:catAx>
        <c:axId val="1904763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773536"/>
        <c:crosses val="autoZero"/>
        <c:auto val="1"/>
        <c:lblAlgn val="ctr"/>
        <c:lblOffset val="100"/>
        <c:noMultiLvlLbl val="0"/>
      </c:catAx>
      <c:valAx>
        <c:axId val="190477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76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02583188918222"/>
          <c:y val="0.11473569718190237"/>
          <c:w val="0.57711708673048068"/>
          <c:h val="0.81567488041030367"/>
        </c:manualLayout>
      </c:layout>
      <c:pieChart>
        <c:varyColors val="1"/>
        <c:ser>
          <c:idx val="0"/>
          <c:order val="0"/>
          <c:tx>
            <c:strRef>
              <c:f>DASHBOARD!$B$2</c:f>
              <c:strCache>
                <c:ptCount val="1"/>
                <c:pt idx="0">
                  <c:v>count of grades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A2-4B3B-B6FE-23D8866953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A2-4B3B-B6FE-23D8866953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A2-4B3B-B6FE-23D8866953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5A2-4B3B-B6FE-23D8866953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5A2-4B3B-B6FE-23D8866953A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DASHBOARD!$A$3:$A$7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Fail</c:v>
                </c:pt>
              </c:strCache>
            </c:strRef>
          </c:cat>
          <c:val>
            <c:numRef>
              <c:f>DASHBOARD!$B$3:$B$7</c:f>
              <c:numCache>
                <c:formatCode>General</c:formatCode>
                <c:ptCount val="5"/>
                <c:pt idx="0">
                  <c:v>33</c:v>
                </c:pt>
                <c:pt idx="1">
                  <c:v>117</c:v>
                </c:pt>
                <c:pt idx="2">
                  <c:v>49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57-4C5C-A50F-27C2364C12E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Students</a:t>
            </a:r>
            <a:r>
              <a:rPr lang="en-IN" baseline="0"/>
              <a:t> report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DASHBOARD!$A$23:$A$26</c:f>
              <c:strCache>
                <c:ptCount val="4"/>
                <c:pt idx="0">
                  <c:v>Total Students</c:v>
                </c:pt>
                <c:pt idx="1">
                  <c:v>Class Average</c:v>
                </c:pt>
                <c:pt idx="2">
                  <c:v>Highest Average</c:v>
                </c:pt>
                <c:pt idx="3">
                  <c:v>Lowest Average</c:v>
                </c:pt>
              </c:strCache>
            </c:strRef>
          </c:cat>
          <c:val>
            <c:numRef>
              <c:f>DASHBOARD!$B$23:$B$26</c:f>
              <c:numCache>
                <c:formatCode>General</c:formatCode>
                <c:ptCount val="4"/>
                <c:pt idx="0">
                  <c:v>200</c:v>
                </c:pt>
                <c:pt idx="1">
                  <c:v>66.058999999999997</c:v>
                </c:pt>
                <c:pt idx="2">
                  <c:v>89.2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2-4171-B08E-D20A1E91E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04768736"/>
        <c:axId val="1904770176"/>
        <c:axId val="0"/>
      </c:bar3DChart>
      <c:catAx>
        <c:axId val="190476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770176"/>
        <c:crosses val="autoZero"/>
        <c:auto val="1"/>
        <c:lblAlgn val="ctr"/>
        <c:lblOffset val="100"/>
        <c:noMultiLvlLbl val="0"/>
      </c:catAx>
      <c:valAx>
        <c:axId val="190477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76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411480</xdr:colOff>
      <xdr:row>24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309800-6238-430E-F6C8-889782F3E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</xdr:colOff>
      <xdr:row>0</xdr:row>
      <xdr:rowOff>167640</xdr:rowOff>
    </xdr:from>
    <xdr:to>
      <xdr:col>13</xdr:col>
      <xdr:colOff>160020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F9477C-93B7-4E47-7D7D-DC38A633D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</xdr:colOff>
      <xdr:row>0</xdr:row>
      <xdr:rowOff>60960</xdr:rowOff>
    </xdr:from>
    <xdr:to>
      <xdr:col>10</xdr:col>
      <xdr:colOff>312420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DE2948-6DAD-BE85-7388-6B8C80D03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68580</xdr:colOff>
      <xdr:row>21</xdr:row>
      <xdr:rowOff>171450</xdr:rowOff>
    </xdr:from>
    <xdr:to>
      <xdr:col>10</xdr:col>
      <xdr:colOff>274320</xdr:colOff>
      <xdr:row>38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AE65EF-BDD8-1C61-17DB-33FEAA917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1"/>
  <sheetViews>
    <sheetView workbookViewId="0">
      <selection activeCell="L11" sqref="L11"/>
    </sheetView>
  </sheetViews>
  <sheetFormatPr defaultRowHeight="14.4" x14ac:dyDescent="0.3"/>
  <cols>
    <col min="1" max="1" width="14.5546875" customWidth="1"/>
    <col min="2" max="2" width="17.88671875" customWidth="1"/>
    <col min="3" max="3" width="8.88671875" customWidth="1"/>
    <col min="6" max="6" width="12.33203125" customWidth="1"/>
    <col min="7" max="7" width="13.77734375" customWidth="1"/>
  </cols>
  <sheetData>
    <row r="1" spans="1:12" x14ac:dyDescent="0.3">
      <c r="A1" s="1"/>
      <c r="B1" s="1"/>
      <c r="C1" s="1"/>
      <c r="D1" s="1"/>
      <c r="E1" s="1"/>
      <c r="F1" s="1"/>
      <c r="G1" s="1"/>
    </row>
    <row r="2" spans="1:12" x14ac:dyDescent="0.3">
      <c r="A2" s="18" t="s">
        <v>360</v>
      </c>
      <c r="B2" s="18"/>
      <c r="C2" s="18"/>
      <c r="D2" s="18"/>
    </row>
    <row r="3" spans="1:12" x14ac:dyDescent="0.3">
      <c r="A3" s="18" t="s">
        <v>361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s="18" t="s">
        <v>362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6" spans="1:12" x14ac:dyDescent="0.3">
      <c r="A6" s="2" t="s">
        <v>0</v>
      </c>
      <c r="B6" s="2" t="s">
        <v>363</v>
      </c>
      <c r="C6" s="2" t="s">
        <v>2</v>
      </c>
      <c r="D6" s="2" t="s">
        <v>3</v>
      </c>
      <c r="E6" s="2" t="s">
        <v>1</v>
      </c>
      <c r="F6" s="2" t="s">
        <v>364</v>
      </c>
      <c r="G6" s="2" t="s">
        <v>365</v>
      </c>
      <c r="H6" s="2" t="s">
        <v>366</v>
      </c>
      <c r="I6" s="2" t="s">
        <v>367</v>
      </c>
      <c r="J6" s="2" t="s">
        <v>368</v>
      </c>
      <c r="K6" s="2" t="s">
        <v>369</v>
      </c>
      <c r="L6" s="3"/>
    </row>
    <row r="7" spans="1:12" x14ac:dyDescent="0.3">
      <c r="A7" s="4" t="s">
        <v>4</v>
      </c>
      <c r="B7" s="4" t="s">
        <v>204</v>
      </c>
      <c r="C7" s="4">
        <v>47</v>
      </c>
      <c r="D7" s="4">
        <v>81</v>
      </c>
      <c r="E7" s="4">
        <v>75</v>
      </c>
      <c r="F7" s="4">
        <v>65</v>
      </c>
      <c r="G7" s="4">
        <v>42</v>
      </c>
      <c r="H7" s="4">
        <v>12</v>
      </c>
      <c r="I7" s="4">
        <f>SUM(C7:G7)</f>
        <v>310</v>
      </c>
      <c r="J7" s="4">
        <f>AVERAGE(C7:G7)</f>
        <v>62</v>
      </c>
      <c r="K7" s="4" t="str">
        <f>IF(J7&gt;=90,"A+",IF(J7&gt;=75,"A",IF(J7&gt;=60,"B",IF(J7&gt;=45,"C","Fail"))))</f>
        <v>B</v>
      </c>
    </row>
    <row r="8" spans="1:12" x14ac:dyDescent="0.3">
      <c r="A8" s="4" t="s">
        <v>5</v>
      </c>
      <c r="B8" s="4" t="s">
        <v>205</v>
      </c>
      <c r="C8" s="4">
        <v>84</v>
      </c>
      <c r="D8" s="4">
        <v>39</v>
      </c>
      <c r="E8" s="4">
        <v>48</v>
      </c>
      <c r="F8" s="4">
        <v>51</v>
      </c>
      <c r="G8" s="4">
        <v>92</v>
      </c>
      <c r="H8" s="4" t="s">
        <v>370</v>
      </c>
      <c r="I8" s="4">
        <f t="shared" ref="I8:I71" si="0">SUM(C8:G8)</f>
        <v>314</v>
      </c>
      <c r="J8" s="4">
        <f t="shared" ref="J8:J71" si="1">AVERAGE(C8:G8)</f>
        <v>62.8</v>
      </c>
      <c r="K8" s="4" t="str">
        <f t="shared" ref="K8:K71" si="2">IF(J8&gt;=90,"A+",IF(J8&gt;=75,"A",IF(J8&gt;=60,"B",IF(J8&gt;=45,"C","Fail"))))</f>
        <v>B</v>
      </c>
    </row>
    <row r="9" spans="1:12" x14ac:dyDescent="0.3">
      <c r="A9" s="4" t="s">
        <v>6</v>
      </c>
      <c r="B9" s="4" t="s">
        <v>206</v>
      </c>
      <c r="C9" s="4">
        <v>69</v>
      </c>
      <c r="D9" s="4">
        <v>73</v>
      </c>
      <c r="E9" s="4">
        <v>42</v>
      </c>
      <c r="F9" s="4">
        <v>91</v>
      </c>
      <c r="G9" s="4">
        <v>67</v>
      </c>
      <c r="H9" s="4" t="s">
        <v>370</v>
      </c>
      <c r="I9" s="4">
        <f t="shared" si="0"/>
        <v>342</v>
      </c>
      <c r="J9" s="4">
        <f t="shared" si="1"/>
        <v>68.400000000000006</v>
      </c>
      <c r="K9" s="4" t="str">
        <f t="shared" si="2"/>
        <v>B</v>
      </c>
    </row>
    <row r="10" spans="1:12" x14ac:dyDescent="0.3">
      <c r="A10" s="4" t="s">
        <v>7</v>
      </c>
      <c r="B10" s="4" t="s">
        <v>207</v>
      </c>
      <c r="C10" s="4">
        <v>98</v>
      </c>
      <c r="D10" s="4">
        <v>84</v>
      </c>
      <c r="E10" s="4">
        <v>39</v>
      </c>
      <c r="F10" s="4">
        <v>37</v>
      </c>
      <c r="G10" s="4">
        <v>82</v>
      </c>
      <c r="H10" s="4" t="s">
        <v>370</v>
      </c>
      <c r="I10" s="4">
        <f t="shared" si="0"/>
        <v>340</v>
      </c>
      <c r="J10" s="4">
        <f t="shared" si="1"/>
        <v>68</v>
      </c>
      <c r="K10" s="4" t="str">
        <f t="shared" si="2"/>
        <v>B</v>
      </c>
    </row>
    <row r="11" spans="1:12" x14ac:dyDescent="0.3">
      <c r="A11" s="4" t="s">
        <v>8</v>
      </c>
      <c r="B11" s="4" t="s">
        <v>208</v>
      </c>
      <c r="C11" s="4">
        <v>85</v>
      </c>
      <c r="D11" s="4">
        <v>58</v>
      </c>
      <c r="E11" s="4">
        <v>51</v>
      </c>
      <c r="F11" s="4">
        <v>54</v>
      </c>
      <c r="G11" s="4">
        <v>70</v>
      </c>
      <c r="H11" s="4" t="s">
        <v>370</v>
      </c>
      <c r="I11" s="4">
        <f t="shared" si="0"/>
        <v>318</v>
      </c>
      <c r="J11" s="4">
        <f t="shared" si="1"/>
        <v>63.6</v>
      </c>
      <c r="K11" s="4" t="str">
        <f t="shared" si="2"/>
        <v>B</v>
      </c>
      <c r="L11">
        <f>COUNTIF(K6:K206,"A")</f>
        <v>33</v>
      </c>
    </row>
    <row r="12" spans="1:12" x14ac:dyDescent="0.3">
      <c r="A12" s="4" t="s">
        <v>9</v>
      </c>
      <c r="B12" s="4" t="s">
        <v>209</v>
      </c>
      <c r="C12" s="4">
        <v>76</v>
      </c>
      <c r="D12" s="4">
        <v>86</v>
      </c>
      <c r="E12" s="4">
        <v>83</v>
      </c>
      <c r="F12" s="4">
        <v>70</v>
      </c>
      <c r="G12" s="4">
        <v>67</v>
      </c>
      <c r="H12" s="4" t="s">
        <v>370</v>
      </c>
      <c r="I12" s="4">
        <f t="shared" si="0"/>
        <v>382</v>
      </c>
      <c r="J12" s="4">
        <f t="shared" si="1"/>
        <v>76.400000000000006</v>
      </c>
      <c r="K12" s="4" t="str">
        <f t="shared" si="2"/>
        <v>A</v>
      </c>
      <c r="L12">
        <f>COUNTIF(K7:K207,"B")</f>
        <v>117</v>
      </c>
    </row>
    <row r="13" spans="1:12" x14ac:dyDescent="0.3">
      <c r="A13" s="4" t="s">
        <v>10</v>
      </c>
      <c r="B13" s="4" t="s">
        <v>210</v>
      </c>
      <c r="C13" s="4">
        <v>91</v>
      </c>
      <c r="D13" s="4">
        <v>72</v>
      </c>
      <c r="E13" s="4">
        <v>74</v>
      </c>
      <c r="F13" s="4">
        <v>100</v>
      </c>
      <c r="G13" s="4">
        <v>34</v>
      </c>
      <c r="H13" s="4" t="s">
        <v>370</v>
      </c>
      <c r="I13" s="4">
        <f t="shared" si="0"/>
        <v>371</v>
      </c>
      <c r="J13" s="4">
        <f t="shared" si="1"/>
        <v>74.2</v>
      </c>
      <c r="K13" s="4" t="str">
        <f t="shared" si="2"/>
        <v>B</v>
      </c>
      <c r="L13">
        <f>COUNTIF(K8:K208,"C")</f>
        <v>49</v>
      </c>
    </row>
    <row r="14" spans="1:12" x14ac:dyDescent="0.3">
      <c r="A14" s="4" t="s">
        <v>11</v>
      </c>
      <c r="B14" s="4" t="s">
        <v>211</v>
      </c>
      <c r="C14" s="4">
        <v>94</v>
      </c>
      <c r="D14" s="4">
        <v>91</v>
      </c>
      <c r="E14" s="4">
        <v>44</v>
      </c>
      <c r="F14" s="4">
        <v>62</v>
      </c>
      <c r="G14" s="4">
        <v>98</v>
      </c>
      <c r="H14" s="4" t="s">
        <v>370</v>
      </c>
      <c r="I14" s="4">
        <f t="shared" si="0"/>
        <v>389</v>
      </c>
      <c r="J14" s="4">
        <f t="shared" si="1"/>
        <v>77.8</v>
      </c>
      <c r="K14" s="4" t="str">
        <f t="shared" si="2"/>
        <v>A</v>
      </c>
      <c r="L14">
        <f>COUNTIF(K9:K209,"D")</f>
        <v>0</v>
      </c>
    </row>
    <row r="15" spans="1:12" x14ac:dyDescent="0.3">
      <c r="A15" s="4" t="s">
        <v>12</v>
      </c>
      <c r="B15" s="4" t="s">
        <v>212</v>
      </c>
      <c r="C15" s="4">
        <v>46</v>
      </c>
      <c r="D15" s="4">
        <v>61</v>
      </c>
      <c r="E15" s="4">
        <v>60</v>
      </c>
      <c r="F15" s="4">
        <v>32</v>
      </c>
      <c r="G15" s="4">
        <v>63</v>
      </c>
      <c r="H15" s="4" t="s">
        <v>370</v>
      </c>
      <c r="I15" s="4">
        <f t="shared" si="0"/>
        <v>262</v>
      </c>
      <c r="J15" s="4">
        <f t="shared" si="1"/>
        <v>52.4</v>
      </c>
      <c r="K15" s="4" t="str">
        <f t="shared" si="2"/>
        <v>C</v>
      </c>
      <c r="L15">
        <f>COUNTIF(K10:K210,"FAIL")</f>
        <v>1</v>
      </c>
    </row>
    <row r="16" spans="1:12" x14ac:dyDescent="0.3">
      <c r="A16" s="4" t="s">
        <v>13</v>
      </c>
      <c r="B16" s="4" t="s">
        <v>213</v>
      </c>
      <c r="C16" s="4">
        <v>47</v>
      </c>
      <c r="D16" s="4">
        <v>48</v>
      </c>
      <c r="E16" s="4">
        <v>53</v>
      </c>
      <c r="F16" s="4">
        <v>94</v>
      </c>
      <c r="G16" s="4">
        <v>81</v>
      </c>
      <c r="H16" s="4" t="s">
        <v>370</v>
      </c>
      <c r="I16" s="4">
        <f t="shared" si="0"/>
        <v>323</v>
      </c>
      <c r="J16" s="4">
        <f t="shared" si="1"/>
        <v>64.599999999999994</v>
      </c>
      <c r="K16" s="4" t="str">
        <f t="shared" si="2"/>
        <v>B</v>
      </c>
    </row>
    <row r="17" spans="1:11" x14ac:dyDescent="0.3">
      <c r="A17" s="4" t="s">
        <v>14</v>
      </c>
      <c r="B17" s="4" t="s">
        <v>214</v>
      </c>
      <c r="C17" s="4">
        <v>84</v>
      </c>
      <c r="D17" s="4">
        <v>62</v>
      </c>
      <c r="E17" s="4">
        <v>44</v>
      </c>
      <c r="F17" s="4">
        <v>62</v>
      </c>
      <c r="G17" s="4">
        <v>30</v>
      </c>
      <c r="H17" s="4" t="s">
        <v>370</v>
      </c>
      <c r="I17" s="4">
        <f t="shared" si="0"/>
        <v>282</v>
      </c>
      <c r="J17" s="4">
        <f t="shared" si="1"/>
        <v>56.4</v>
      </c>
      <c r="K17" s="4" t="str">
        <f t="shared" si="2"/>
        <v>C</v>
      </c>
    </row>
    <row r="18" spans="1:11" x14ac:dyDescent="0.3">
      <c r="A18" s="4" t="s">
        <v>15</v>
      </c>
      <c r="B18" s="4" t="s">
        <v>215</v>
      </c>
      <c r="C18" s="4">
        <v>77</v>
      </c>
      <c r="D18" s="4">
        <v>89</v>
      </c>
      <c r="E18" s="4">
        <v>46</v>
      </c>
      <c r="F18" s="4">
        <v>41</v>
      </c>
      <c r="G18" s="4">
        <v>65</v>
      </c>
      <c r="H18" s="4" t="s">
        <v>370</v>
      </c>
      <c r="I18" s="4">
        <f t="shared" si="0"/>
        <v>318</v>
      </c>
      <c r="J18" s="4">
        <f t="shared" si="1"/>
        <v>63.6</v>
      </c>
      <c r="K18" s="4" t="str">
        <f t="shared" si="2"/>
        <v>B</v>
      </c>
    </row>
    <row r="19" spans="1:11" x14ac:dyDescent="0.3">
      <c r="A19" s="4" t="s">
        <v>16</v>
      </c>
      <c r="B19" s="4" t="s">
        <v>216</v>
      </c>
      <c r="C19" s="4">
        <v>49</v>
      </c>
      <c r="D19" s="4">
        <v>69</v>
      </c>
      <c r="E19" s="4">
        <v>32</v>
      </c>
      <c r="F19" s="4">
        <v>48</v>
      </c>
      <c r="G19" s="4">
        <v>100</v>
      </c>
      <c r="H19" s="4" t="s">
        <v>370</v>
      </c>
      <c r="I19" s="4">
        <f t="shared" si="0"/>
        <v>298</v>
      </c>
      <c r="J19" s="4">
        <f t="shared" si="1"/>
        <v>59.6</v>
      </c>
      <c r="K19" s="4" t="str">
        <f t="shared" si="2"/>
        <v>C</v>
      </c>
    </row>
    <row r="20" spans="1:11" x14ac:dyDescent="0.3">
      <c r="A20" s="4" t="s">
        <v>17</v>
      </c>
      <c r="B20" s="4" t="s">
        <v>217</v>
      </c>
      <c r="C20" s="4">
        <v>54</v>
      </c>
      <c r="D20" s="4">
        <v>76</v>
      </c>
      <c r="E20" s="4">
        <v>53</v>
      </c>
      <c r="F20" s="4">
        <v>58</v>
      </c>
      <c r="G20" s="4">
        <v>84</v>
      </c>
      <c r="H20" s="4" t="s">
        <v>370</v>
      </c>
      <c r="I20" s="4">
        <f t="shared" si="0"/>
        <v>325</v>
      </c>
      <c r="J20" s="4">
        <f t="shared" si="1"/>
        <v>65</v>
      </c>
      <c r="K20" s="4" t="str">
        <f t="shared" si="2"/>
        <v>B</v>
      </c>
    </row>
    <row r="21" spans="1:11" x14ac:dyDescent="0.3">
      <c r="A21" s="4" t="s">
        <v>18</v>
      </c>
      <c r="B21" s="4" t="s">
        <v>218</v>
      </c>
      <c r="C21" s="4">
        <v>37</v>
      </c>
      <c r="D21" s="4">
        <v>94</v>
      </c>
      <c r="E21" s="4">
        <v>85</v>
      </c>
      <c r="F21" s="4">
        <v>44</v>
      </c>
      <c r="G21" s="4">
        <v>69</v>
      </c>
      <c r="H21" s="4" t="s">
        <v>370</v>
      </c>
      <c r="I21" s="4">
        <f t="shared" si="0"/>
        <v>329</v>
      </c>
      <c r="J21" s="4">
        <f t="shared" si="1"/>
        <v>65.8</v>
      </c>
      <c r="K21" s="4" t="str">
        <f t="shared" si="2"/>
        <v>B</v>
      </c>
    </row>
    <row r="22" spans="1:11" x14ac:dyDescent="0.3">
      <c r="A22" s="4" t="s">
        <v>19</v>
      </c>
      <c r="B22" s="4" t="s">
        <v>219</v>
      </c>
      <c r="C22" s="4">
        <v>58</v>
      </c>
      <c r="D22" s="4">
        <v>42</v>
      </c>
      <c r="E22" s="4">
        <v>88</v>
      </c>
      <c r="F22" s="4">
        <v>39</v>
      </c>
      <c r="G22" s="4">
        <v>56</v>
      </c>
      <c r="H22" s="4" t="s">
        <v>370</v>
      </c>
      <c r="I22" s="4">
        <f t="shared" si="0"/>
        <v>283</v>
      </c>
      <c r="J22" s="4">
        <f t="shared" si="1"/>
        <v>56.6</v>
      </c>
      <c r="K22" s="4" t="str">
        <f t="shared" si="2"/>
        <v>C</v>
      </c>
    </row>
    <row r="23" spans="1:11" x14ac:dyDescent="0.3">
      <c r="A23" s="4" t="s">
        <v>20</v>
      </c>
      <c r="B23" s="4" t="s">
        <v>220</v>
      </c>
      <c r="C23" s="4">
        <v>64</v>
      </c>
      <c r="D23" s="4">
        <v>73</v>
      </c>
      <c r="E23" s="4">
        <v>63</v>
      </c>
      <c r="F23" s="4">
        <v>84</v>
      </c>
      <c r="G23" s="4">
        <v>30</v>
      </c>
      <c r="H23" s="4" t="s">
        <v>370</v>
      </c>
      <c r="I23" s="4">
        <f t="shared" si="0"/>
        <v>314</v>
      </c>
      <c r="J23" s="4">
        <f t="shared" si="1"/>
        <v>62.8</v>
      </c>
      <c r="K23" s="4" t="str">
        <f t="shared" si="2"/>
        <v>B</v>
      </c>
    </row>
    <row r="24" spans="1:11" x14ac:dyDescent="0.3">
      <c r="A24" s="4" t="s">
        <v>21</v>
      </c>
      <c r="B24" s="4" t="s">
        <v>221</v>
      </c>
      <c r="C24" s="4">
        <v>58</v>
      </c>
      <c r="D24" s="4">
        <v>96</v>
      </c>
      <c r="E24" s="4">
        <v>100</v>
      </c>
      <c r="F24" s="4">
        <v>95</v>
      </c>
      <c r="G24" s="4">
        <v>37</v>
      </c>
      <c r="H24" s="4" t="s">
        <v>370</v>
      </c>
      <c r="I24" s="4">
        <f t="shared" si="0"/>
        <v>386</v>
      </c>
      <c r="J24" s="4">
        <f t="shared" si="1"/>
        <v>77.2</v>
      </c>
      <c r="K24" s="4" t="str">
        <f t="shared" si="2"/>
        <v>A</v>
      </c>
    </row>
    <row r="25" spans="1:11" x14ac:dyDescent="0.3">
      <c r="A25" s="4" t="s">
        <v>22</v>
      </c>
      <c r="B25" s="4" t="s">
        <v>222</v>
      </c>
      <c r="C25" s="4">
        <v>47</v>
      </c>
      <c r="D25" s="4">
        <v>41</v>
      </c>
      <c r="E25" s="4">
        <v>34</v>
      </c>
      <c r="F25" s="4">
        <v>50</v>
      </c>
      <c r="G25" s="4">
        <v>94</v>
      </c>
      <c r="H25" s="4" t="s">
        <v>370</v>
      </c>
      <c r="I25" s="4">
        <f t="shared" si="0"/>
        <v>266</v>
      </c>
      <c r="J25" s="4">
        <f t="shared" si="1"/>
        <v>53.2</v>
      </c>
      <c r="K25" s="4" t="str">
        <f t="shared" si="2"/>
        <v>C</v>
      </c>
    </row>
    <row r="26" spans="1:11" x14ac:dyDescent="0.3">
      <c r="A26" s="4" t="s">
        <v>23</v>
      </c>
      <c r="B26" s="4" t="s">
        <v>223</v>
      </c>
      <c r="C26" s="4">
        <v>57</v>
      </c>
      <c r="D26" s="4">
        <v>78</v>
      </c>
      <c r="E26" s="4">
        <v>98</v>
      </c>
      <c r="F26" s="4">
        <v>98</v>
      </c>
      <c r="G26" s="4">
        <v>98</v>
      </c>
      <c r="H26" s="4" t="s">
        <v>370</v>
      </c>
      <c r="I26" s="4">
        <f t="shared" si="0"/>
        <v>429</v>
      </c>
      <c r="J26" s="4">
        <f t="shared" si="1"/>
        <v>85.8</v>
      </c>
      <c r="K26" s="4" t="str">
        <f t="shared" si="2"/>
        <v>A</v>
      </c>
    </row>
    <row r="27" spans="1:11" x14ac:dyDescent="0.3">
      <c r="A27" s="4" t="s">
        <v>24</v>
      </c>
      <c r="B27" s="4" t="s">
        <v>224</v>
      </c>
      <c r="C27" s="4">
        <v>64</v>
      </c>
      <c r="D27" s="4">
        <v>33</v>
      </c>
      <c r="E27" s="4">
        <v>71</v>
      </c>
      <c r="F27" s="4">
        <v>87</v>
      </c>
      <c r="G27" s="4">
        <v>57</v>
      </c>
      <c r="H27" s="4" t="s">
        <v>370</v>
      </c>
      <c r="I27" s="4">
        <f t="shared" si="0"/>
        <v>312</v>
      </c>
      <c r="J27" s="4">
        <f t="shared" si="1"/>
        <v>62.4</v>
      </c>
      <c r="K27" s="4" t="str">
        <f t="shared" si="2"/>
        <v>B</v>
      </c>
    </row>
    <row r="28" spans="1:11" x14ac:dyDescent="0.3">
      <c r="A28" s="4" t="s">
        <v>25</v>
      </c>
      <c r="B28" s="4" t="s">
        <v>225</v>
      </c>
      <c r="C28" s="4">
        <v>81</v>
      </c>
      <c r="D28" s="4">
        <v>42</v>
      </c>
      <c r="E28" s="4">
        <v>73</v>
      </c>
      <c r="F28" s="4">
        <v>86</v>
      </c>
      <c r="G28" s="4">
        <v>59</v>
      </c>
      <c r="H28" s="4" t="s">
        <v>370</v>
      </c>
      <c r="I28" s="4">
        <f t="shared" si="0"/>
        <v>341</v>
      </c>
      <c r="J28" s="4">
        <f t="shared" si="1"/>
        <v>68.2</v>
      </c>
      <c r="K28" s="4" t="str">
        <f t="shared" si="2"/>
        <v>B</v>
      </c>
    </row>
    <row r="29" spans="1:11" x14ac:dyDescent="0.3">
      <c r="A29" s="4" t="s">
        <v>26</v>
      </c>
      <c r="B29" s="4" t="s">
        <v>226</v>
      </c>
      <c r="C29" s="4">
        <v>61</v>
      </c>
      <c r="D29" s="4">
        <v>47</v>
      </c>
      <c r="E29" s="4">
        <v>37</v>
      </c>
      <c r="F29" s="4">
        <v>77</v>
      </c>
      <c r="G29" s="4">
        <v>41</v>
      </c>
      <c r="H29" s="4" t="s">
        <v>370</v>
      </c>
      <c r="I29" s="4">
        <f t="shared" si="0"/>
        <v>263</v>
      </c>
      <c r="J29" s="4">
        <f t="shared" si="1"/>
        <v>52.6</v>
      </c>
      <c r="K29" s="4" t="str">
        <f t="shared" si="2"/>
        <v>C</v>
      </c>
    </row>
    <row r="30" spans="1:11" x14ac:dyDescent="0.3">
      <c r="A30" s="4" t="s">
        <v>27</v>
      </c>
      <c r="B30" s="4" t="s">
        <v>227</v>
      </c>
      <c r="C30" s="4">
        <v>70</v>
      </c>
      <c r="D30" s="4">
        <v>50</v>
      </c>
      <c r="E30" s="4">
        <v>33</v>
      </c>
      <c r="F30" s="4">
        <v>77</v>
      </c>
      <c r="G30" s="4">
        <v>56</v>
      </c>
      <c r="H30" s="4" t="s">
        <v>370</v>
      </c>
      <c r="I30" s="4">
        <f t="shared" si="0"/>
        <v>286</v>
      </c>
      <c r="J30" s="4">
        <f t="shared" si="1"/>
        <v>57.2</v>
      </c>
      <c r="K30" s="4" t="str">
        <f t="shared" si="2"/>
        <v>C</v>
      </c>
    </row>
    <row r="31" spans="1:11" x14ac:dyDescent="0.3">
      <c r="A31" s="4" t="s">
        <v>28</v>
      </c>
      <c r="B31" s="4" t="s">
        <v>228</v>
      </c>
      <c r="C31" s="4">
        <v>62</v>
      </c>
      <c r="D31" s="4">
        <v>34</v>
      </c>
      <c r="E31" s="4">
        <v>69</v>
      </c>
      <c r="F31" s="4">
        <v>96</v>
      </c>
      <c r="G31" s="4">
        <v>30</v>
      </c>
      <c r="H31" s="4" t="s">
        <v>370</v>
      </c>
      <c r="I31" s="4">
        <f t="shared" si="0"/>
        <v>291</v>
      </c>
      <c r="J31" s="4">
        <f t="shared" si="1"/>
        <v>58.2</v>
      </c>
      <c r="K31" s="4" t="str">
        <f t="shared" si="2"/>
        <v>C</v>
      </c>
    </row>
    <row r="32" spans="1:11" x14ac:dyDescent="0.3">
      <c r="A32" s="4" t="s">
        <v>29</v>
      </c>
      <c r="B32" s="4" t="s">
        <v>229</v>
      </c>
      <c r="C32" s="4">
        <v>39</v>
      </c>
      <c r="D32" s="4">
        <v>56</v>
      </c>
      <c r="E32" s="4">
        <v>34</v>
      </c>
      <c r="F32" s="4">
        <v>86</v>
      </c>
      <c r="G32" s="4">
        <v>60</v>
      </c>
      <c r="H32" s="4" t="s">
        <v>370</v>
      </c>
      <c r="I32" s="4">
        <f t="shared" si="0"/>
        <v>275</v>
      </c>
      <c r="J32" s="4">
        <f t="shared" si="1"/>
        <v>55</v>
      </c>
      <c r="K32" s="4" t="str">
        <f t="shared" si="2"/>
        <v>C</v>
      </c>
    </row>
    <row r="33" spans="1:11" x14ac:dyDescent="0.3">
      <c r="A33" s="4" t="s">
        <v>30</v>
      </c>
      <c r="B33" s="4" t="s">
        <v>230</v>
      </c>
      <c r="C33" s="4">
        <v>97</v>
      </c>
      <c r="D33" s="4">
        <v>51</v>
      </c>
      <c r="E33" s="4">
        <v>54</v>
      </c>
      <c r="F33" s="4">
        <v>88</v>
      </c>
      <c r="G33" s="4">
        <v>48</v>
      </c>
      <c r="H33" s="4" t="s">
        <v>370</v>
      </c>
      <c r="I33" s="4">
        <f t="shared" si="0"/>
        <v>338</v>
      </c>
      <c r="J33" s="4">
        <f t="shared" si="1"/>
        <v>67.599999999999994</v>
      </c>
      <c r="K33" s="4" t="str">
        <f t="shared" si="2"/>
        <v>B</v>
      </c>
    </row>
    <row r="34" spans="1:11" x14ac:dyDescent="0.3">
      <c r="A34" s="4" t="s">
        <v>31</v>
      </c>
      <c r="B34" s="4" t="s">
        <v>231</v>
      </c>
      <c r="C34" s="4">
        <v>36</v>
      </c>
      <c r="D34" s="4">
        <v>56</v>
      </c>
      <c r="E34" s="4">
        <v>86</v>
      </c>
      <c r="F34" s="4">
        <v>48</v>
      </c>
      <c r="G34" s="4">
        <v>80</v>
      </c>
      <c r="H34" s="4" t="s">
        <v>370</v>
      </c>
      <c r="I34" s="4">
        <f t="shared" si="0"/>
        <v>306</v>
      </c>
      <c r="J34" s="4">
        <f t="shared" si="1"/>
        <v>61.2</v>
      </c>
      <c r="K34" s="4" t="str">
        <f t="shared" si="2"/>
        <v>B</v>
      </c>
    </row>
    <row r="35" spans="1:11" x14ac:dyDescent="0.3">
      <c r="A35" s="4" t="s">
        <v>32</v>
      </c>
      <c r="B35" s="4" t="s">
        <v>229</v>
      </c>
      <c r="C35" s="4">
        <v>81</v>
      </c>
      <c r="D35" s="4">
        <v>68</v>
      </c>
      <c r="E35" s="4">
        <v>79</v>
      </c>
      <c r="F35" s="4">
        <v>98</v>
      </c>
      <c r="G35" s="4">
        <v>33</v>
      </c>
      <c r="H35" s="4" t="s">
        <v>370</v>
      </c>
      <c r="I35" s="4">
        <f t="shared" si="0"/>
        <v>359</v>
      </c>
      <c r="J35" s="4">
        <f t="shared" si="1"/>
        <v>71.8</v>
      </c>
      <c r="K35" s="4" t="str">
        <f t="shared" si="2"/>
        <v>B</v>
      </c>
    </row>
    <row r="36" spans="1:11" x14ac:dyDescent="0.3">
      <c r="A36" s="4" t="s">
        <v>33</v>
      </c>
      <c r="B36" s="4" t="s">
        <v>232</v>
      </c>
      <c r="C36" s="4">
        <v>76</v>
      </c>
      <c r="D36" s="4">
        <v>60</v>
      </c>
      <c r="E36" s="4">
        <v>88</v>
      </c>
      <c r="F36" s="4">
        <v>40</v>
      </c>
      <c r="G36" s="4">
        <v>88</v>
      </c>
      <c r="H36" s="4" t="s">
        <v>370</v>
      </c>
      <c r="I36" s="4">
        <f t="shared" si="0"/>
        <v>352</v>
      </c>
      <c r="J36" s="4">
        <f t="shared" si="1"/>
        <v>70.400000000000006</v>
      </c>
      <c r="K36" s="4" t="str">
        <f t="shared" si="2"/>
        <v>B</v>
      </c>
    </row>
    <row r="37" spans="1:11" x14ac:dyDescent="0.3">
      <c r="A37" s="4" t="s">
        <v>34</v>
      </c>
      <c r="B37" s="4" t="s">
        <v>233</v>
      </c>
      <c r="C37" s="4">
        <v>77</v>
      </c>
      <c r="D37" s="4">
        <v>78</v>
      </c>
      <c r="E37" s="4">
        <v>55</v>
      </c>
      <c r="F37" s="4">
        <v>53</v>
      </c>
      <c r="G37" s="4">
        <v>64</v>
      </c>
      <c r="H37" s="4" t="s">
        <v>370</v>
      </c>
      <c r="I37" s="4">
        <f t="shared" si="0"/>
        <v>327</v>
      </c>
      <c r="J37" s="4">
        <f t="shared" si="1"/>
        <v>65.400000000000006</v>
      </c>
      <c r="K37" s="4" t="str">
        <f t="shared" si="2"/>
        <v>B</v>
      </c>
    </row>
    <row r="38" spans="1:11" x14ac:dyDescent="0.3">
      <c r="A38" s="4" t="s">
        <v>35</v>
      </c>
      <c r="B38" s="4" t="s">
        <v>234</v>
      </c>
      <c r="C38" s="4">
        <v>49</v>
      </c>
      <c r="D38" s="4">
        <v>58</v>
      </c>
      <c r="E38" s="4">
        <v>49</v>
      </c>
      <c r="F38" s="4">
        <v>97</v>
      </c>
      <c r="G38" s="4">
        <v>87</v>
      </c>
      <c r="H38" s="4" t="s">
        <v>370</v>
      </c>
      <c r="I38" s="4">
        <f t="shared" si="0"/>
        <v>340</v>
      </c>
      <c r="J38" s="4">
        <f t="shared" si="1"/>
        <v>68</v>
      </c>
      <c r="K38" s="4" t="str">
        <f t="shared" si="2"/>
        <v>B</v>
      </c>
    </row>
    <row r="39" spans="1:11" x14ac:dyDescent="0.3">
      <c r="A39" s="4" t="s">
        <v>36</v>
      </c>
      <c r="B39" s="4" t="s">
        <v>235</v>
      </c>
      <c r="C39" s="4">
        <v>42</v>
      </c>
      <c r="D39" s="4">
        <v>35</v>
      </c>
      <c r="E39" s="4">
        <v>77</v>
      </c>
      <c r="F39" s="4">
        <v>50</v>
      </c>
      <c r="G39" s="4">
        <v>84</v>
      </c>
      <c r="H39" s="4" t="s">
        <v>370</v>
      </c>
      <c r="I39" s="4">
        <f t="shared" si="0"/>
        <v>288</v>
      </c>
      <c r="J39" s="4">
        <f t="shared" si="1"/>
        <v>57.6</v>
      </c>
      <c r="K39" s="4" t="str">
        <f t="shared" si="2"/>
        <v>C</v>
      </c>
    </row>
    <row r="40" spans="1:11" x14ac:dyDescent="0.3">
      <c r="A40" s="4" t="s">
        <v>37</v>
      </c>
      <c r="B40" s="4" t="s">
        <v>216</v>
      </c>
      <c r="C40" s="4">
        <v>78</v>
      </c>
      <c r="D40" s="4">
        <v>94</v>
      </c>
      <c r="E40" s="4">
        <v>56</v>
      </c>
      <c r="F40" s="4">
        <v>83</v>
      </c>
      <c r="G40" s="4">
        <v>75</v>
      </c>
      <c r="H40" s="4" t="s">
        <v>370</v>
      </c>
      <c r="I40" s="4">
        <f t="shared" si="0"/>
        <v>386</v>
      </c>
      <c r="J40" s="4">
        <f t="shared" si="1"/>
        <v>77.2</v>
      </c>
      <c r="K40" s="4" t="str">
        <f t="shared" si="2"/>
        <v>A</v>
      </c>
    </row>
    <row r="41" spans="1:11" x14ac:dyDescent="0.3">
      <c r="A41" s="4" t="s">
        <v>38</v>
      </c>
      <c r="B41" s="4" t="s">
        <v>236</v>
      </c>
      <c r="C41" s="4">
        <v>95</v>
      </c>
      <c r="D41" s="4">
        <v>40</v>
      </c>
      <c r="E41" s="4">
        <v>62</v>
      </c>
      <c r="F41" s="4">
        <v>88</v>
      </c>
      <c r="G41" s="4">
        <v>37</v>
      </c>
      <c r="H41" s="4" t="s">
        <v>370</v>
      </c>
      <c r="I41" s="4">
        <f t="shared" si="0"/>
        <v>322</v>
      </c>
      <c r="J41" s="4">
        <f t="shared" si="1"/>
        <v>64.400000000000006</v>
      </c>
      <c r="K41" s="4" t="str">
        <f t="shared" si="2"/>
        <v>B</v>
      </c>
    </row>
    <row r="42" spans="1:11" x14ac:dyDescent="0.3">
      <c r="A42" s="4" t="s">
        <v>39</v>
      </c>
      <c r="B42" s="4" t="s">
        <v>237</v>
      </c>
      <c r="C42" s="4">
        <v>43</v>
      </c>
      <c r="D42" s="4">
        <v>72</v>
      </c>
      <c r="E42" s="4">
        <v>46</v>
      </c>
      <c r="F42" s="4">
        <v>73</v>
      </c>
      <c r="G42" s="4">
        <v>48</v>
      </c>
      <c r="H42" s="4" t="s">
        <v>370</v>
      </c>
      <c r="I42" s="4">
        <f t="shared" si="0"/>
        <v>282</v>
      </c>
      <c r="J42" s="4">
        <f t="shared" si="1"/>
        <v>56.4</v>
      </c>
      <c r="K42" s="4" t="str">
        <f t="shared" si="2"/>
        <v>C</v>
      </c>
    </row>
    <row r="43" spans="1:11" x14ac:dyDescent="0.3">
      <c r="A43" s="4" t="s">
        <v>40</v>
      </c>
      <c r="B43" s="4" t="s">
        <v>238</v>
      </c>
      <c r="C43" s="4">
        <v>55</v>
      </c>
      <c r="D43" s="4">
        <v>81</v>
      </c>
      <c r="E43" s="4">
        <v>100</v>
      </c>
      <c r="F43" s="4">
        <v>75</v>
      </c>
      <c r="G43" s="4">
        <v>89</v>
      </c>
      <c r="H43" s="4" t="s">
        <v>370</v>
      </c>
      <c r="I43" s="4">
        <f t="shared" si="0"/>
        <v>400</v>
      </c>
      <c r="J43" s="4">
        <f t="shared" si="1"/>
        <v>80</v>
      </c>
      <c r="K43" s="4" t="str">
        <f t="shared" si="2"/>
        <v>A</v>
      </c>
    </row>
    <row r="44" spans="1:11" x14ac:dyDescent="0.3">
      <c r="A44" s="4" t="s">
        <v>41</v>
      </c>
      <c r="B44" s="4" t="s">
        <v>239</v>
      </c>
      <c r="C44" s="4">
        <v>62</v>
      </c>
      <c r="D44" s="4">
        <v>79</v>
      </c>
      <c r="E44" s="4">
        <v>98</v>
      </c>
      <c r="F44" s="4">
        <v>33</v>
      </c>
      <c r="G44" s="4">
        <v>72</v>
      </c>
      <c r="H44" s="4" t="s">
        <v>370</v>
      </c>
      <c r="I44" s="4">
        <f t="shared" si="0"/>
        <v>344</v>
      </c>
      <c r="J44" s="4">
        <f t="shared" si="1"/>
        <v>68.8</v>
      </c>
      <c r="K44" s="4" t="str">
        <f t="shared" si="2"/>
        <v>B</v>
      </c>
    </row>
    <row r="45" spans="1:11" x14ac:dyDescent="0.3">
      <c r="A45" s="4" t="s">
        <v>42</v>
      </c>
      <c r="B45" s="4" t="s">
        <v>240</v>
      </c>
      <c r="C45" s="4">
        <v>63</v>
      </c>
      <c r="D45" s="4">
        <v>48</v>
      </c>
      <c r="E45" s="4">
        <v>31</v>
      </c>
      <c r="F45" s="4">
        <v>53</v>
      </c>
      <c r="G45" s="4">
        <v>34</v>
      </c>
      <c r="H45" s="4" t="s">
        <v>370</v>
      </c>
      <c r="I45" s="4">
        <f t="shared" si="0"/>
        <v>229</v>
      </c>
      <c r="J45" s="4">
        <f t="shared" si="1"/>
        <v>45.8</v>
      </c>
      <c r="K45" s="4" t="str">
        <f t="shared" si="2"/>
        <v>C</v>
      </c>
    </row>
    <row r="46" spans="1:11" x14ac:dyDescent="0.3">
      <c r="A46" s="4" t="s">
        <v>43</v>
      </c>
      <c r="B46" s="4" t="s">
        <v>241</v>
      </c>
      <c r="C46" s="4">
        <v>69</v>
      </c>
      <c r="D46" s="4">
        <v>67</v>
      </c>
      <c r="E46" s="4">
        <v>62</v>
      </c>
      <c r="F46" s="4">
        <v>42</v>
      </c>
      <c r="G46" s="4">
        <v>59</v>
      </c>
      <c r="H46" s="4" t="s">
        <v>370</v>
      </c>
      <c r="I46" s="4">
        <f t="shared" si="0"/>
        <v>299</v>
      </c>
      <c r="J46" s="4">
        <f t="shared" si="1"/>
        <v>59.8</v>
      </c>
      <c r="K46" s="4" t="str">
        <f t="shared" si="2"/>
        <v>C</v>
      </c>
    </row>
    <row r="47" spans="1:11" x14ac:dyDescent="0.3">
      <c r="A47" s="4" t="s">
        <v>44</v>
      </c>
      <c r="B47" s="4" t="s">
        <v>242</v>
      </c>
      <c r="C47" s="4">
        <v>61</v>
      </c>
      <c r="D47" s="4">
        <v>64</v>
      </c>
      <c r="E47" s="4">
        <v>34</v>
      </c>
      <c r="F47" s="4">
        <v>93</v>
      </c>
      <c r="G47" s="4">
        <v>92</v>
      </c>
      <c r="H47" s="4" t="s">
        <v>370</v>
      </c>
      <c r="I47" s="4">
        <f t="shared" si="0"/>
        <v>344</v>
      </c>
      <c r="J47" s="4">
        <f t="shared" si="1"/>
        <v>68.8</v>
      </c>
      <c r="K47" s="4" t="str">
        <f t="shared" si="2"/>
        <v>B</v>
      </c>
    </row>
    <row r="48" spans="1:11" x14ac:dyDescent="0.3">
      <c r="A48" s="4" t="s">
        <v>45</v>
      </c>
      <c r="B48" s="4" t="s">
        <v>243</v>
      </c>
      <c r="C48" s="4">
        <v>49</v>
      </c>
      <c r="D48" s="4">
        <v>69</v>
      </c>
      <c r="E48" s="4">
        <v>53</v>
      </c>
      <c r="F48" s="4">
        <v>76</v>
      </c>
      <c r="G48" s="4">
        <v>76</v>
      </c>
      <c r="H48" s="4" t="s">
        <v>370</v>
      </c>
      <c r="I48" s="4">
        <f t="shared" si="0"/>
        <v>323</v>
      </c>
      <c r="J48" s="4">
        <f t="shared" si="1"/>
        <v>64.599999999999994</v>
      </c>
      <c r="K48" s="4" t="str">
        <f t="shared" si="2"/>
        <v>B</v>
      </c>
    </row>
    <row r="49" spans="1:11" x14ac:dyDescent="0.3">
      <c r="A49" s="4" t="s">
        <v>46</v>
      </c>
      <c r="B49" s="4" t="s">
        <v>215</v>
      </c>
      <c r="C49" s="4">
        <v>78</v>
      </c>
      <c r="D49" s="4">
        <v>98</v>
      </c>
      <c r="E49" s="4">
        <v>51</v>
      </c>
      <c r="F49" s="4">
        <v>79</v>
      </c>
      <c r="G49" s="4">
        <v>77</v>
      </c>
      <c r="H49" s="4" t="s">
        <v>370</v>
      </c>
      <c r="I49" s="4">
        <f t="shared" si="0"/>
        <v>383</v>
      </c>
      <c r="J49" s="4">
        <f t="shared" si="1"/>
        <v>76.599999999999994</v>
      </c>
      <c r="K49" s="4" t="str">
        <f t="shared" si="2"/>
        <v>A</v>
      </c>
    </row>
    <row r="50" spans="1:11" x14ac:dyDescent="0.3">
      <c r="A50" s="4" t="s">
        <v>47</v>
      </c>
      <c r="B50" s="4" t="s">
        <v>244</v>
      </c>
      <c r="C50" s="4">
        <v>82</v>
      </c>
      <c r="D50" s="4">
        <v>64</v>
      </c>
      <c r="E50" s="4">
        <v>41</v>
      </c>
      <c r="F50" s="4">
        <v>69</v>
      </c>
      <c r="G50" s="4">
        <v>99</v>
      </c>
      <c r="H50" s="4" t="s">
        <v>370</v>
      </c>
      <c r="I50" s="4">
        <f t="shared" si="0"/>
        <v>355</v>
      </c>
      <c r="J50" s="4">
        <f t="shared" si="1"/>
        <v>71</v>
      </c>
      <c r="K50" s="4" t="str">
        <f t="shared" si="2"/>
        <v>B</v>
      </c>
    </row>
    <row r="51" spans="1:11" x14ac:dyDescent="0.3">
      <c r="A51" s="4" t="s">
        <v>48</v>
      </c>
      <c r="B51" s="4" t="s">
        <v>245</v>
      </c>
      <c r="C51" s="4">
        <v>44</v>
      </c>
      <c r="D51" s="4">
        <v>41</v>
      </c>
      <c r="E51" s="4">
        <v>76</v>
      </c>
      <c r="F51" s="4">
        <v>35</v>
      </c>
      <c r="G51" s="4">
        <v>74</v>
      </c>
      <c r="H51" s="4" t="s">
        <v>370</v>
      </c>
      <c r="I51" s="4">
        <f t="shared" si="0"/>
        <v>270</v>
      </c>
      <c r="J51" s="4">
        <f t="shared" si="1"/>
        <v>54</v>
      </c>
      <c r="K51" s="4" t="str">
        <f t="shared" si="2"/>
        <v>C</v>
      </c>
    </row>
    <row r="52" spans="1:11" x14ac:dyDescent="0.3">
      <c r="A52" s="4" t="s">
        <v>49</v>
      </c>
      <c r="B52" s="4" t="s">
        <v>246</v>
      </c>
      <c r="C52" s="4">
        <v>93</v>
      </c>
      <c r="D52" s="4">
        <v>61</v>
      </c>
      <c r="E52" s="4">
        <v>72</v>
      </c>
      <c r="F52" s="4">
        <v>64</v>
      </c>
      <c r="G52" s="4">
        <v>80</v>
      </c>
      <c r="H52" s="4" t="s">
        <v>370</v>
      </c>
      <c r="I52" s="4">
        <f t="shared" si="0"/>
        <v>370</v>
      </c>
      <c r="J52" s="4">
        <f t="shared" si="1"/>
        <v>74</v>
      </c>
      <c r="K52" s="4" t="str">
        <f t="shared" si="2"/>
        <v>B</v>
      </c>
    </row>
    <row r="53" spans="1:11" x14ac:dyDescent="0.3">
      <c r="A53" s="4" t="s">
        <v>50</v>
      </c>
      <c r="B53" s="4" t="s">
        <v>243</v>
      </c>
      <c r="C53" s="4">
        <v>83</v>
      </c>
      <c r="D53" s="4">
        <v>64</v>
      </c>
      <c r="E53" s="4">
        <v>42</v>
      </c>
      <c r="F53" s="4">
        <v>41</v>
      </c>
      <c r="G53" s="4">
        <v>83</v>
      </c>
      <c r="H53" s="4" t="s">
        <v>370</v>
      </c>
      <c r="I53" s="4">
        <f t="shared" si="0"/>
        <v>313</v>
      </c>
      <c r="J53" s="4">
        <f t="shared" si="1"/>
        <v>62.6</v>
      </c>
      <c r="K53" s="4" t="str">
        <f t="shared" si="2"/>
        <v>B</v>
      </c>
    </row>
    <row r="54" spans="1:11" x14ac:dyDescent="0.3">
      <c r="A54" s="4" t="s">
        <v>51</v>
      </c>
      <c r="B54" s="4" t="s">
        <v>247</v>
      </c>
      <c r="C54" s="4">
        <v>69</v>
      </c>
      <c r="D54" s="4">
        <v>56</v>
      </c>
      <c r="E54" s="4">
        <v>75</v>
      </c>
      <c r="F54" s="4">
        <v>74</v>
      </c>
      <c r="G54" s="4">
        <v>54</v>
      </c>
      <c r="H54" s="4" t="s">
        <v>370</v>
      </c>
      <c r="I54" s="4">
        <f t="shared" si="0"/>
        <v>328</v>
      </c>
      <c r="J54" s="4">
        <f t="shared" si="1"/>
        <v>65.599999999999994</v>
      </c>
      <c r="K54" s="4" t="str">
        <f t="shared" si="2"/>
        <v>B</v>
      </c>
    </row>
    <row r="55" spans="1:11" x14ac:dyDescent="0.3">
      <c r="A55" s="4" t="s">
        <v>52</v>
      </c>
      <c r="B55" s="4" t="s">
        <v>209</v>
      </c>
      <c r="C55" s="4">
        <v>95</v>
      </c>
      <c r="D55" s="4">
        <v>87</v>
      </c>
      <c r="E55" s="4">
        <v>68</v>
      </c>
      <c r="F55" s="4">
        <v>89</v>
      </c>
      <c r="G55" s="4">
        <v>48</v>
      </c>
      <c r="H55" s="4" t="s">
        <v>370</v>
      </c>
      <c r="I55" s="4">
        <f t="shared" si="0"/>
        <v>387</v>
      </c>
      <c r="J55" s="4">
        <f t="shared" si="1"/>
        <v>77.400000000000006</v>
      </c>
      <c r="K55" s="4" t="str">
        <f t="shared" si="2"/>
        <v>A</v>
      </c>
    </row>
    <row r="56" spans="1:11" x14ac:dyDescent="0.3">
      <c r="A56" s="4" t="s">
        <v>53</v>
      </c>
      <c r="B56" s="4" t="s">
        <v>248</v>
      </c>
      <c r="C56" s="4">
        <v>66</v>
      </c>
      <c r="D56" s="4">
        <v>58</v>
      </c>
      <c r="E56" s="4">
        <v>77</v>
      </c>
      <c r="F56" s="4">
        <v>61</v>
      </c>
      <c r="G56" s="4">
        <v>100</v>
      </c>
      <c r="H56" s="4" t="s">
        <v>370</v>
      </c>
      <c r="I56" s="4">
        <f t="shared" si="0"/>
        <v>362</v>
      </c>
      <c r="J56" s="4">
        <f t="shared" si="1"/>
        <v>72.400000000000006</v>
      </c>
      <c r="K56" s="4" t="str">
        <f t="shared" si="2"/>
        <v>B</v>
      </c>
    </row>
    <row r="57" spans="1:11" x14ac:dyDescent="0.3">
      <c r="A57" s="4" t="s">
        <v>54</v>
      </c>
      <c r="B57" s="4" t="s">
        <v>249</v>
      </c>
      <c r="C57" s="4">
        <v>54</v>
      </c>
      <c r="D57" s="4">
        <v>70</v>
      </c>
      <c r="E57" s="4">
        <v>60</v>
      </c>
      <c r="F57" s="4">
        <v>99</v>
      </c>
      <c r="G57" s="4">
        <v>68</v>
      </c>
      <c r="H57" s="4" t="s">
        <v>370</v>
      </c>
      <c r="I57" s="4">
        <f t="shared" si="0"/>
        <v>351</v>
      </c>
      <c r="J57" s="4">
        <f t="shared" si="1"/>
        <v>70.2</v>
      </c>
      <c r="K57" s="4" t="str">
        <f t="shared" si="2"/>
        <v>B</v>
      </c>
    </row>
    <row r="58" spans="1:11" x14ac:dyDescent="0.3">
      <c r="A58" s="4" t="s">
        <v>55</v>
      </c>
      <c r="B58" s="4" t="s">
        <v>250</v>
      </c>
      <c r="C58" s="4">
        <v>68</v>
      </c>
      <c r="D58" s="4">
        <v>57</v>
      </c>
      <c r="E58" s="4">
        <v>52</v>
      </c>
      <c r="F58" s="4">
        <v>64</v>
      </c>
      <c r="G58" s="4">
        <v>69</v>
      </c>
      <c r="H58" s="4" t="s">
        <v>370</v>
      </c>
      <c r="I58" s="4">
        <f t="shared" si="0"/>
        <v>310</v>
      </c>
      <c r="J58" s="4">
        <f t="shared" si="1"/>
        <v>62</v>
      </c>
      <c r="K58" s="4" t="str">
        <f t="shared" si="2"/>
        <v>B</v>
      </c>
    </row>
    <row r="59" spans="1:11" x14ac:dyDescent="0.3">
      <c r="A59" s="4" t="s">
        <v>56</v>
      </c>
      <c r="B59" s="4" t="s">
        <v>251</v>
      </c>
      <c r="C59" s="4">
        <v>60</v>
      </c>
      <c r="D59" s="4">
        <v>74</v>
      </c>
      <c r="E59" s="4">
        <v>81</v>
      </c>
      <c r="F59" s="4">
        <v>93</v>
      </c>
      <c r="G59" s="4">
        <v>100</v>
      </c>
      <c r="H59" s="4" t="s">
        <v>370</v>
      </c>
      <c r="I59" s="4">
        <f t="shared" si="0"/>
        <v>408</v>
      </c>
      <c r="J59" s="4">
        <f t="shared" si="1"/>
        <v>81.599999999999994</v>
      </c>
      <c r="K59" s="4" t="str">
        <f t="shared" si="2"/>
        <v>A</v>
      </c>
    </row>
    <row r="60" spans="1:11" x14ac:dyDescent="0.3">
      <c r="A60" s="4" t="s">
        <v>57</v>
      </c>
      <c r="B60" s="4" t="s">
        <v>252</v>
      </c>
      <c r="C60" s="4">
        <v>78</v>
      </c>
      <c r="D60" s="4">
        <v>67</v>
      </c>
      <c r="E60" s="4">
        <v>83</v>
      </c>
      <c r="F60" s="4">
        <v>86</v>
      </c>
      <c r="G60" s="4">
        <v>50</v>
      </c>
      <c r="H60" s="4" t="s">
        <v>370</v>
      </c>
      <c r="I60" s="4">
        <f t="shared" si="0"/>
        <v>364</v>
      </c>
      <c r="J60" s="4">
        <f t="shared" si="1"/>
        <v>72.8</v>
      </c>
      <c r="K60" s="4" t="str">
        <f t="shared" si="2"/>
        <v>B</v>
      </c>
    </row>
    <row r="61" spans="1:11" x14ac:dyDescent="0.3">
      <c r="A61" s="4" t="s">
        <v>58</v>
      </c>
      <c r="B61" s="4" t="s">
        <v>253</v>
      </c>
      <c r="C61" s="4">
        <v>71</v>
      </c>
      <c r="D61" s="4">
        <v>91</v>
      </c>
      <c r="E61" s="4">
        <v>46</v>
      </c>
      <c r="F61" s="4">
        <v>30</v>
      </c>
      <c r="G61" s="4">
        <v>92</v>
      </c>
      <c r="H61" s="4" t="s">
        <v>370</v>
      </c>
      <c r="I61" s="4">
        <f t="shared" si="0"/>
        <v>330</v>
      </c>
      <c r="J61" s="4">
        <f t="shared" si="1"/>
        <v>66</v>
      </c>
      <c r="K61" s="4" t="str">
        <f t="shared" si="2"/>
        <v>B</v>
      </c>
    </row>
    <row r="62" spans="1:11" x14ac:dyDescent="0.3">
      <c r="A62" s="4" t="s">
        <v>59</v>
      </c>
      <c r="B62" s="4" t="s">
        <v>254</v>
      </c>
      <c r="C62" s="4">
        <v>82</v>
      </c>
      <c r="D62" s="4">
        <v>36</v>
      </c>
      <c r="E62" s="4">
        <v>63</v>
      </c>
      <c r="F62" s="4">
        <v>74</v>
      </c>
      <c r="G62" s="4">
        <v>100</v>
      </c>
      <c r="H62" s="4" t="s">
        <v>370</v>
      </c>
      <c r="I62" s="4">
        <f t="shared" si="0"/>
        <v>355</v>
      </c>
      <c r="J62" s="4">
        <f t="shared" si="1"/>
        <v>71</v>
      </c>
      <c r="K62" s="4" t="str">
        <f t="shared" si="2"/>
        <v>B</v>
      </c>
    </row>
    <row r="63" spans="1:11" x14ac:dyDescent="0.3">
      <c r="A63" s="4" t="s">
        <v>60</v>
      </c>
      <c r="B63" s="4" t="s">
        <v>248</v>
      </c>
      <c r="C63" s="4">
        <v>46</v>
      </c>
      <c r="D63" s="4">
        <v>97</v>
      </c>
      <c r="E63" s="4">
        <v>46</v>
      </c>
      <c r="F63" s="4">
        <v>42</v>
      </c>
      <c r="G63" s="4">
        <v>77</v>
      </c>
      <c r="H63" s="4" t="s">
        <v>370</v>
      </c>
      <c r="I63" s="4">
        <f t="shared" si="0"/>
        <v>308</v>
      </c>
      <c r="J63" s="4">
        <f t="shared" si="1"/>
        <v>61.6</v>
      </c>
      <c r="K63" s="4" t="str">
        <f t="shared" si="2"/>
        <v>B</v>
      </c>
    </row>
    <row r="64" spans="1:11" x14ac:dyDescent="0.3">
      <c r="A64" s="4" t="s">
        <v>61</v>
      </c>
      <c r="B64" s="4" t="s">
        <v>255</v>
      </c>
      <c r="C64" s="4">
        <v>39</v>
      </c>
      <c r="D64" s="4">
        <v>100</v>
      </c>
      <c r="E64" s="4">
        <v>69</v>
      </c>
      <c r="F64" s="4">
        <v>87</v>
      </c>
      <c r="G64" s="4">
        <v>62</v>
      </c>
      <c r="H64" s="4" t="s">
        <v>370</v>
      </c>
      <c r="I64" s="4">
        <f t="shared" si="0"/>
        <v>357</v>
      </c>
      <c r="J64" s="4">
        <f t="shared" si="1"/>
        <v>71.400000000000006</v>
      </c>
      <c r="K64" s="4" t="str">
        <f t="shared" si="2"/>
        <v>B</v>
      </c>
    </row>
    <row r="65" spans="1:11" x14ac:dyDescent="0.3">
      <c r="A65" s="4" t="s">
        <v>62</v>
      </c>
      <c r="B65" s="4" t="s">
        <v>256</v>
      </c>
      <c r="C65" s="4">
        <v>75</v>
      </c>
      <c r="D65" s="4">
        <v>75</v>
      </c>
      <c r="E65" s="4">
        <v>38</v>
      </c>
      <c r="F65" s="4">
        <v>84</v>
      </c>
      <c r="G65" s="4">
        <v>40</v>
      </c>
      <c r="H65" s="4" t="s">
        <v>370</v>
      </c>
      <c r="I65" s="4">
        <f t="shared" si="0"/>
        <v>312</v>
      </c>
      <c r="J65" s="4">
        <f t="shared" si="1"/>
        <v>62.4</v>
      </c>
      <c r="K65" s="4" t="str">
        <f t="shared" si="2"/>
        <v>B</v>
      </c>
    </row>
    <row r="66" spans="1:11" x14ac:dyDescent="0.3">
      <c r="A66" s="4" t="s">
        <v>63</v>
      </c>
      <c r="B66" s="4" t="s">
        <v>257</v>
      </c>
      <c r="C66" s="4">
        <v>57</v>
      </c>
      <c r="D66" s="4">
        <v>77</v>
      </c>
      <c r="E66" s="4">
        <v>41</v>
      </c>
      <c r="F66" s="4">
        <v>98</v>
      </c>
      <c r="G66" s="4">
        <v>64</v>
      </c>
      <c r="H66" s="4" t="s">
        <v>370</v>
      </c>
      <c r="I66" s="4">
        <f t="shared" si="0"/>
        <v>337</v>
      </c>
      <c r="J66" s="4">
        <f t="shared" si="1"/>
        <v>67.400000000000006</v>
      </c>
      <c r="K66" s="4" t="str">
        <f t="shared" si="2"/>
        <v>B</v>
      </c>
    </row>
    <row r="67" spans="1:11" x14ac:dyDescent="0.3">
      <c r="A67" s="4" t="s">
        <v>64</v>
      </c>
      <c r="B67" s="4" t="s">
        <v>258</v>
      </c>
      <c r="C67" s="4">
        <v>98</v>
      </c>
      <c r="D67" s="4">
        <v>83</v>
      </c>
      <c r="E67" s="4">
        <v>71</v>
      </c>
      <c r="F67" s="4">
        <v>88</v>
      </c>
      <c r="G67" s="4">
        <v>77</v>
      </c>
      <c r="H67" s="4" t="s">
        <v>370</v>
      </c>
      <c r="I67" s="4">
        <f t="shared" si="0"/>
        <v>417</v>
      </c>
      <c r="J67" s="4">
        <f t="shared" si="1"/>
        <v>83.4</v>
      </c>
      <c r="K67" s="4" t="str">
        <f t="shared" si="2"/>
        <v>A</v>
      </c>
    </row>
    <row r="68" spans="1:11" x14ac:dyDescent="0.3">
      <c r="A68" s="4" t="s">
        <v>65</v>
      </c>
      <c r="B68" s="4" t="s">
        <v>259</v>
      </c>
      <c r="C68" s="4">
        <v>49</v>
      </c>
      <c r="D68" s="4">
        <v>89</v>
      </c>
      <c r="E68" s="4">
        <v>83</v>
      </c>
      <c r="F68" s="4">
        <v>91</v>
      </c>
      <c r="G68" s="4">
        <v>74</v>
      </c>
      <c r="H68" s="4" t="s">
        <v>370</v>
      </c>
      <c r="I68" s="4">
        <f t="shared" si="0"/>
        <v>386</v>
      </c>
      <c r="J68" s="4">
        <f t="shared" si="1"/>
        <v>77.2</v>
      </c>
      <c r="K68" s="4" t="str">
        <f t="shared" si="2"/>
        <v>A</v>
      </c>
    </row>
    <row r="69" spans="1:11" x14ac:dyDescent="0.3">
      <c r="A69" s="4" t="s">
        <v>66</v>
      </c>
      <c r="B69" s="4" t="s">
        <v>260</v>
      </c>
      <c r="C69" s="4">
        <v>93</v>
      </c>
      <c r="D69" s="4">
        <v>34</v>
      </c>
      <c r="E69" s="4">
        <v>33</v>
      </c>
      <c r="F69" s="4">
        <v>82</v>
      </c>
      <c r="G69" s="4">
        <v>44</v>
      </c>
      <c r="H69" s="4" t="s">
        <v>370</v>
      </c>
      <c r="I69" s="4">
        <f t="shared" si="0"/>
        <v>286</v>
      </c>
      <c r="J69" s="4">
        <f t="shared" si="1"/>
        <v>57.2</v>
      </c>
      <c r="K69" s="4" t="str">
        <f t="shared" si="2"/>
        <v>C</v>
      </c>
    </row>
    <row r="70" spans="1:11" x14ac:dyDescent="0.3">
      <c r="A70" s="4" t="s">
        <v>67</v>
      </c>
      <c r="B70" s="4" t="s">
        <v>261</v>
      </c>
      <c r="C70" s="4">
        <v>58</v>
      </c>
      <c r="D70" s="4">
        <v>59</v>
      </c>
      <c r="E70" s="4">
        <v>51</v>
      </c>
      <c r="F70" s="4">
        <v>52</v>
      </c>
      <c r="G70" s="4">
        <v>35</v>
      </c>
      <c r="H70" s="4" t="s">
        <v>370</v>
      </c>
      <c r="I70" s="4">
        <f t="shared" si="0"/>
        <v>255</v>
      </c>
      <c r="J70" s="4">
        <f t="shared" si="1"/>
        <v>51</v>
      </c>
      <c r="K70" s="4" t="str">
        <f t="shared" si="2"/>
        <v>C</v>
      </c>
    </row>
    <row r="71" spans="1:11" x14ac:dyDescent="0.3">
      <c r="A71" s="4" t="s">
        <v>68</v>
      </c>
      <c r="B71" s="4" t="s">
        <v>262</v>
      </c>
      <c r="C71" s="4">
        <v>64</v>
      </c>
      <c r="D71" s="4">
        <v>78</v>
      </c>
      <c r="E71" s="4">
        <v>55</v>
      </c>
      <c r="F71" s="4">
        <v>76</v>
      </c>
      <c r="G71" s="4">
        <v>63</v>
      </c>
      <c r="H71" s="4" t="s">
        <v>370</v>
      </c>
      <c r="I71" s="4">
        <f t="shared" si="0"/>
        <v>336</v>
      </c>
      <c r="J71" s="4">
        <f t="shared" si="1"/>
        <v>67.2</v>
      </c>
      <c r="K71" s="4" t="str">
        <f t="shared" si="2"/>
        <v>B</v>
      </c>
    </row>
    <row r="72" spans="1:11" x14ac:dyDescent="0.3">
      <c r="A72" s="4" t="s">
        <v>69</v>
      </c>
      <c r="B72" s="4" t="s">
        <v>231</v>
      </c>
      <c r="C72" s="4">
        <v>88</v>
      </c>
      <c r="D72" s="4">
        <v>36</v>
      </c>
      <c r="E72" s="4">
        <v>41</v>
      </c>
      <c r="F72" s="4">
        <v>77</v>
      </c>
      <c r="G72" s="4">
        <v>42</v>
      </c>
      <c r="H72" s="4" t="s">
        <v>370</v>
      </c>
      <c r="I72" s="4">
        <f t="shared" ref="I72:I135" si="3">SUM(C72:G72)</f>
        <v>284</v>
      </c>
      <c r="J72" s="4">
        <f t="shared" ref="J72:J135" si="4">AVERAGE(C72:G72)</f>
        <v>56.8</v>
      </c>
      <c r="K72" s="4" t="str">
        <f t="shared" ref="K72:K135" si="5">IF(J72&gt;=90,"A+",IF(J72&gt;=75,"A",IF(J72&gt;=60,"B",IF(J72&gt;=45,"C","Fail"))))</f>
        <v>C</v>
      </c>
    </row>
    <row r="73" spans="1:11" x14ac:dyDescent="0.3">
      <c r="A73" s="4" t="s">
        <v>70</v>
      </c>
      <c r="B73" s="4" t="s">
        <v>263</v>
      </c>
      <c r="C73" s="4">
        <v>48</v>
      </c>
      <c r="D73" s="4">
        <v>80</v>
      </c>
      <c r="E73" s="4">
        <v>80</v>
      </c>
      <c r="F73" s="4">
        <v>63</v>
      </c>
      <c r="G73" s="4">
        <v>74</v>
      </c>
      <c r="H73" s="4" t="s">
        <v>370</v>
      </c>
      <c r="I73" s="4">
        <f t="shared" si="3"/>
        <v>345</v>
      </c>
      <c r="J73" s="4">
        <f t="shared" si="4"/>
        <v>69</v>
      </c>
      <c r="K73" s="4" t="str">
        <f t="shared" si="5"/>
        <v>B</v>
      </c>
    </row>
    <row r="74" spans="1:11" x14ac:dyDescent="0.3">
      <c r="A74" s="4" t="s">
        <v>71</v>
      </c>
      <c r="B74" s="4" t="s">
        <v>264</v>
      </c>
      <c r="C74" s="4">
        <v>82</v>
      </c>
      <c r="D74" s="4">
        <v>71</v>
      </c>
      <c r="E74" s="4">
        <v>78</v>
      </c>
      <c r="F74" s="4">
        <v>68</v>
      </c>
      <c r="G74" s="4">
        <v>75</v>
      </c>
      <c r="H74" s="4" t="s">
        <v>370</v>
      </c>
      <c r="I74" s="4">
        <f t="shared" si="3"/>
        <v>374</v>
      </c>
      <c r="J74" s="4">
        <f t="shared" si="4"/>
        <v>74.8</v>
      </c>
      <c r="K74" s="4" t="str">
        <f t="shared" si="5"/>
        <v>B</v>
      </c>
    </row>
    <row r="75" spans="1:11" x14ac:dyDescent="0.3">
      <c r="A75" s="4" t="s">
        <v>72</v>
      </c>
      <c r="B75" s="4" t="s">
        <v>265</v>
      </c>
      <c r="C75" s="4">
        <v>67</v>
      </c>
      <c r="D75" s="4">
        <v>89</v>
      </c>
      <c r="E75" s="4">
        <v>87</v>
      </c>
      <c r="F75" s="4">
        <v>43</v>
      </c>
      <c r="G75" s="4">
        <v>73</v>
      </c>
      <c r="H75" s="4" t="s">
        <v>370</v>
      </c>
      <c r="I75" s="4">
        <f t="shared" si="3"/>
        <v>359</v>
      </c>
      <c r="J75" s="4">
        <f t="shared" si="4"/>
        <v>71.8</v>
      </c>
      <c r="K75" s="4" t="str">
        <f t="shared" si="5"/>
        <v>B</v>
      </c>
    </row>
    <row r="76" spans="1:11" x14ac:dyDescent="0.3">
      <c r="A76" s="4" t="s">
        <v>73</v>
      </c>
      <c r="B76" s="4" t="s">
        <v>266</v>
      </c>
      <c r="C76" s="4">
        <v>74</v>
      </c>
      <c r="D76" s="4">
        <v>99</v>
      </c>
      <c r="E76" s="4">
        <v>46</v>
      </c>
      <c r="F76" s="4">
        <v>88</v>
      </c>
      <c r="G76" s="4">
        <v>56</v>
      </c>
      <c r="H76" s="4" t="s">
        <v>370</v>
      </c>
      <c r="I76" s="4">
        <f t="shared" si="3"/>
        <v>363</v>
      </c>
      <c r="J76" s="4">
        <f t="shared" si="4"/>
        <v>72.599999999999994</v>
      </c>
      <c r="K76" s="4" t="str">
        <f t="shared" si="5"/>
        <v>B</v>
      </c>
    </row>
    <row r="77" spans="1:11" x14ac:dyDescent="0.3">
      <c r="A77" s="4" t="s">
        <v>74</v>
      </c>
      <c r="B77" s="4" t="s">
        <v>234</v>
      </c>
      <c r="C77" s="4">
        <v>31</v>
      </c>
      <c r="D77" s="4">
        <v>49</v>
      </c>
      <c r="E77" s="4">
        <v>83</v>
      </c>
      <c r="F77" s="4">
        <v>71</v>
      </c>
      <c r="G77" s="4">
        <v>64</v>
      </c>
      <c r="H77" s="4" t="s">
        <v>370</v>
      </c>
      <c r="I77" s="4">
        <f t="shared" si="3"/>
        <v>298</v>
      </c>
      <c r="J77" s="4">
        <f t="shared" si="4"/>
        <v>59.6</v>
      </c>
      <c r="K77" s="4" t="str">
        <f t="shared" si="5"/>
        <v>C</v>
      </c>
    </row>
    <row r="78" spans="1:11" x14ac:dyDescent="0.3">
      <c r="A78" s="4" t="s">
        <v>75</v>
      </c>
      <c r="B78" s="4" t="s">
        <v>267</v>
      </c>
      <c r="C78" s="4">
        <v>55</v>
      </c>
      <c r="D78" s="4">
        <v>47</v>
      </c>
      <c r="E78" s="4">
        <v>99</v>
      </c>
      <c r="F78" s="4">
        <v>45</v>
      </c>
      <c r="G78" s="4">
        <v>47</v>
      </c>
      <c r="H78" s="4" t="s">
        <v>370</v>
      </c>
      <c r="I78" s="4">
        <f t="shared" si="3"/>
        <v>293</v>
      </c>
      <c r="J78" s="4">
        <f t="shared" si="4"/>
        <v>58.6</v>
      </c>
      <c r="K78" s="4" t="str">
        <f t="shared" si="5"/>
        <v>C</v>
      </c>
    </row>
    <row r="79" spans="1:11" x14ac:dyDescent="0.3">
      <c r="A79" s="4" t="s">
        <v>76</v>
      </c>
      <c r="B79" s="4" t="s">
        <v>268</v>
      </c>
      <c r="C79" s="4">
        <v>53</v>
      </c>
      <c r="D79" s="4">
        <v>61</v>
      </c>
      <c r="E79" s="4">
        <v>44</v>
      </c>
      <c r="F79" s="4">
        <v>93</v>
      </c>
      <c r="G79" s="4">
        <v>97</v>
      </c>
      <c r="H79" s="4" t="s">
        <v>370</v>
      </c>
      <c r="I79" s="4">
        <f t="shared" si="3"/>
        <v>348</v>
      </c>
      <c r="J79" s="4">
        <f t="shared" si="4"/>
        <v>69.599999999999994</v>
      </c>
      <c r="K79" s="4" t="str">
        <f t="shared" si="5"/>
        <v>B</v>
      </c>
    </row>
    <row r="80" spans="1:11" x14ac:dyDescent="0.3">
      <c r="A80" s="4" t="s">
        <v>77</v>
      </c>
      <c r="B80" s="4" t="s">
        <v>226</v>
      </c>
      <c r="C80" s="4">
        <v>56</v>
      </c>
      <c r="D80" s="4">
        <v>100</v>
      </c>
      <c r="E80" s="4">
        <v>88</v>
      </c>
      <c r="F80" s="4">
        <v>79</v>
      </c>
      <c r="G80" s="4">
        <v>52</v>
      </c>
      <c r="H80" s="4" t="s">
        <v>370</v>
      </c>
      <c r="I80" s="4">
        <f t="shared" si="3"/>
        <v>375</v>
      </c>
      <c r="J80" s="4">
        <f t="shared" si="4"/>
        <v>75</v>
      </c>
      <c r="K80" s="4" t="str">
        <f t="shared" si="5"/>
        <v>A</v>
      </c>
    </row>
    <row r="81" spans="1:11" x14ac:dyDescent="0.3">
      <c r="A81" s="4" t="s">
        <v>78</v>
      </c>
      <c r="B81" s="4" t="s">
        <v>269</v>
      </c>
      <c r="C81" s="4">
        <v>51</v>
      </c>
      <c r="D81" s="4">
        <v>52</v>
      </c>
      <c r="E81" s="4">
        <v>56</v>
      </c>
      <c r="F81" s="4">
        <v>94</v>
      </c>
      <c r="G81" s="4">
        <v>34</v>
      </c>
      <c r="H81" s="4" t="s">
        <v>370</v>
      </c>
      <c r="I81" s="4">
        <f t="shared" si="3"/>
        <v>287</v>
      </c>
      <c r="J81" s="4">
        <f t="shared" si="4"/>
        <v>57.4</v>
      </c>
      <c r="K81" s="4" t="str">
        <f t="shared" si="5"/>
        <v>C</v>
      </c>
    </row>
    <row r="82" spans="1:11" x14ac:dyDescent="0.3">
      <c r="A82" s="4" t="s">
        <v>79</v>
      </c>
      <c r="B82" s="4" t="s">
        <v>270</v>
      </c>
      <c r="C82" s="4">
        <v>30</v>
      </c>
      <c r="D82" s="4">
        <v>81</v>
      </c>
      <c r="E82" s="4">
        <v>52</v>
      </c>
      <c r="F82" s="4">
        <v>57</v>
      </c>
      <c r="G82" s="4">
        <v>69</v>
      </c>
      <c r="H82" s="4" t="s">
        <v>370</v>
      </c>
      <c r="I82" s="4">
        <f t="shared" si="3"/>
        <v>289</v>
      </c>
      <c r="J82" s="4">
        <f t="shared" si="4"/>
        <v>57.8</v>
      </c>
      <c r="K82" s="4" t="str">
        <f t="shared" si="5"/>
        <v>C</v>
      </c>
    </row>
    <row r="83" spans="1:11" x14ac:dyDescent="0.3">
      <c r="A83" s="4" t="s">
        <v>80</v>
      </c>
      <c r="B83" s="4" t="s">
        <v>271</v>
      </c>
      <c r="C83" s="4">
        <v>74</v>
      </c>
      <c r="D83" s="4">
        <v>40</v>
      </c>
      <c r="E83" s="4">
        <v>31</v>
      </c>
      <c r="F83" s="4">
        <v>40</v>
      </c>
      <c r="G83" s="4">
        <v>69</v>
      </c>
      <c r="H83" s="4" t="s">
        <v>370</v>
      </c>
      <c r="I83" s="4">
        <f t="shared" si="3"/>
        <v>254</v>
      </c>
      <c r="J83" s="4">
        <f t="shared" si="4"/>
        <v>50.8</v>
      </c>
      <c r="K83" s="4" t="str">
        <f t="shared" si="5"/>
        <v>C</v>
      </c>
    </row>
    <row r="84" spans="1:11" x14ac:dyDescent="0.3">
      <c r="A84" s="4" t="s">
        <v>81</v>
      </c>
      <c r="B84" s="4" t="s">
        <v>272</v>
      </c>
      <c r="C84" s="4">
        <v>49</v>
      </c>
      <c r="D84" s="4">
        <v>34</v>
      </c>
      <c r="E84" s="4">
        <v>64</v>
      </c>
      <c r="F84" s="4">
        <v>63</v>
      </c>
      <c r="G84" s="4">
        <v>65</v>
      </c>
      <c r="H84" s="4" t="s">
        <v>370</v>
      </c>
      <c r="I84" s="4">
        <f t="shared" si="3"/>
        <v>275</v>
      </c>
      <c r="J84" s="4">
        <f t="shared" si="4"/>
        <v>55</v>
      </c>
      <c r="K84" s="4" t="str">
        <f t="shared" si="5"/>
        <v>C</v>
      </c>
    </row>
    <row r="85" spans="1:11" x14ac:dyDescent="0.3">
      <c r="A85" s="4" t="s">
        <v>82</v>
      </c>
      <c r="B85" s="4" t="s">
        <v>273</v>
      </c>
      <c r="C85" s="4">
        <v>65</v>
      </c>
      <c r="D85" s="4">
        <v>65</v>
      </c>
      <c r="E85" s="4">
        <v>100</v>
      </c>
      <c r="F85" s="4">
        <v>94</v>
      </c>
      <c r="G85" s="4">
        <v>41</v>
      </c>
      <c r="H85" s="4" t="s">
        <v>370</v>
      </c>
      <c r="I85" s="4">
        <f t="shared" si="3"/>
        <v>365</v>
      </c>
      <c r="J85" s="4">
        <f t="shared" si="4"/>
        <v>73</v>
      </c>
      <c r="K85" s="4" t="str">
        <f t="shared" si="5"/>
        <v>B</v>
      </c>
    </row>
    <row r="86" spans="1:11" x14ac:dyDescent="0.3">
      <c r="A86" s="4" t="s">
        <v>83</v>
      </c>
      <c r="B86" s="4" t="s">
        <v>274</v>
      </c>
      <c r="C86" s="4">
        <v>39</v>
      </c>
      <c r="D86" s="4">
        <v>74</v>
      </c>
      <c r="E86" s="4">
        <v>74</v>
      </c>
      <c r="F86" s="4">
        <v>90</v>
      </c>
      <c r="G86" s="4">
        <v>65</v>
      </c>
      <c r="H86" s="4" t="s">
        <v>370</v>
      </c>
      <c r="I86" s="4">
        <f t="shared" si="3"/>
        <v>342</v>
      </c>
      <c r="J86" s="4">
        <f t="shared" si="4"/>
        <v>68.400000000000006</v>
      </c>
      <c r="K86" s="4" t="str">
        <f t="shared" si="5"/>
        <v>B</v>
      </c>
    </row>
    <row r="87" spans="1:11" x14ac:dyDescent="0.3">
      <c r="A87" s="4" t="s">
        <v>84</v>
      </c>
      <c r="B87" s="4" t="s">
        <v>275</v>
      </c>
      <c r="C87" s="4">
        <v>92</v>
      </c>
      <c r="D87" s="4">
        <v>97</v>
      </c>
      <c r="E87" s="4">
        <v>75</v>
      </c>
      <c r="F87" s="4">
        <v>87</v>
      </c>
      <c r="G87" s="4">
        <v>83</v>
      </c>
      <c r="H87" s="4" t="s">
        <v>370</v>
      </c>
      <c r="I87" s="4">
        <f t="shared" si="3"/>
        <v>434</v>
      </c>
      <c r="J87" s="4">
        <f t="shared" si="4"/>
        <v>86.8</v>
      </c>
      <c r="K87" s="4" t="str">
        <f t="shared" si="5"/>
        <v>A</v>
      </c>
    </row>
    <row r="88" spans="1:11" x14ac:dyDescent="0.3">
      <c r="A88" s="4" t="s">
        <v>85</v>
      </c>
      <c r="B88" s="4" t="s">
        <v>276</v>
      </c>
      <c r="C88" s="4">
        <v>50</v>
      </c>
      <c r="D88" s="4">
        <v>35</v>
      </c>
      <c r="E88" s="4">
        <v>62</v>
      </c>
      <c r="F88" s="4">
        <v>77</v>
      </c>
      <c r="G88" s="4">
        <v>96</v>
      </c>
      <c r="H88" s="4" t="s">
        <v>370</v>
      </c>
      <c r="I88" s="4">
        <f t="shared" si="3"/>
        <v>320</v>
      </c>
      <c r="J88" s="4">
        <f t="shared" si="4"/>
        <v>64</v>
      </c>
      <c r="K88" s="4" t="str">
        <f t="shared" si="5"/>
        <v>B</v>
      </c>
    </row>
    <row r="89" spans="1:11" x14ac:dyDescent="0.3">
      <c r="A89" s="4" t="s">
        <v>86</v>
      </c>
      <c r="B89" s="4" t="s">
        <v>277</v>
      </c>
      <c r="C89" s="4">
        <v>100</v>
      </c>
      <c r="D89" s="4">
        <v>53</v>
      </c>
      <c r="E89" s="4">
        <v>96</v>
      </c>
      <c r="F89" s="4">
        <v>49</v>
      </c>
      <c r="G89" s="4">
        <v>75</v>
      </c>
      <c r="H89" s="4" t="s">
        <v>370</v>
      </c>
      <c r="I89" s="4">
        <f t="shared" si="3"/>
        <v>373</v>
      </c>
      <c r="J89" s="4">
        <f t="shared" si="4"/>
        <v>74.599999999999994</v>
      </c>
      <c r="K89" s="4" t="str">
        <f t="shared" si="5"/>
        <v>B</v>
      </c>
    </row>
    <row r="90" spans="1:11" x14ac:dyDescent="0.3">
      <c r="A90" s="4" t="s">
        <v>87</v>
      </c>
      <c r="B90" s="4" t="s">
        <v>278</v>
      </c>
      <c r="C90" s="4">
        <v>30</v>
      </c>
      <c r="D90" s="4">
        <v>67</v>
      </c>
      <c r="E90" s="4">
        <v>72</v>
      </c>
      <c r="F90" s="4">
        <v>63</v>
      </c>
      <c r="G90" s="4">
        <v>73</v>
      </c>
      <c r="H90" s="4" t="s">
        <v>370</v>
      </c>
      <c r="I90" s="4">
        <f t="shared" si="3"/>
        <v>305</v>
      </c>
      <c r="J90" s="4">
        <f t="shared" si="4"/>
        <v>61</v>
      </c>
      <c r="K90" s="4" t="str">
        <f t="shared" si="5"/>
        <v>B</v>
      </c>
    </row>
    <row r="91" spans="1:11" x14ac:dyDescent="0.3">
      <c r="A91" s="4" t="s">
        <v>88</v>
      </c>
      <c r="B91" s="4" t="s">
        <v>279</v>
      </c>
      <c r="C91" s="4">
        <v>70</v>
      </c>
      <c r="D91" s="4">
        <v>48</v>
      </c>
      <c r="E91" s="4">
        <v>55</v>
      </c>
      <c r="F91" s="4">
        <v>37</v>
      </c>
      <c r="G91" s="4">
        <v>47</v>
      </c>
      <c r="H91" s="4" t="s">
        <v>370</v>
      </c>
      <c r="I91" s="4">
        <f t="shared" si="3"/>
        <v>257</v>
      </c>
      <c r="J91" s="4">
        <f t="shared" si="4"/>
        <v>51.4</v>
      </c>
      <c r="K91" s="4" t="str">
        <f t="shared" si="5"/>
        <v>C</v>
      </c>
    </row>
    <row r="92" spans="1:11" x14ac:dyDescent="0.3">
      <c r="A92" s="4" t="s">
        <v>89</v>
      </c>
      <c r="B92" s="4" t="s">
        <v>280</v>
      </c>
      <c r="C92" s="4">
        <v>56</v>
      </c>
      <c r="D92" s="4">
        <v>58</v>
      </c>
      <c r="E92" s="4">
        <v>97</v>
      </c>
      <c r="F92" s="4">
        <v>76</v>
      </c>
      <c r="G92" s="4">
        <v>45</v>
      </c>
      <c r="H92" s="4" t="s">
        <v>370</v>
      </c>
      <c r="I92" s="4">
        <f t="shared" si="3"/>
        <v>332</v>
      </c>
      <c r="J92" s="4">
        <f t="shared" si="4"/>
        <v>66.400000000000006</v>
      </c>
      <c r="K92" s="4" t="str">
        <f t="shared" si="5"/>
        <v>B</v>
      </c>
    </row>
    <row r="93" spans="1:11" x14ac:dyDescent="0.3">
      <c r="A93" s="4" t="s">
        <v>90</v>
      </c>
      <c r="B93" s="4" t="s">
        <v>250</v>
      </c>
      <c r="C93" s="4">
        <v>69</v>
      </c>
      <c r="D93" s="4">
        <v>69</v>
      </c>
      <c r="E93" s="4">
        <v>61</v>
      </c>
      <c r="F93" s="4">
        <v>49</v>
      </c>
      <c r="G93" s="4">
        <v>49</v>
      </c>
      <c r="H93" s="4" t="s">
        <v>370</v>
      </c>
      <c r="I93" s="4">
        <f t="shared" si="3"/>
        <v>297</v>
      </c>
      <c r="J93" s="4">
        <f t="shared" si="4"/>
        <v>59.4</v>
      </c>
      <c r="K93" s="4" t="str">
        <f t="shared" si="5"/>
        <v>C</v>
      </c>
    </row>
    <row r="94" spans="1:11" x14ac:dyDescent="0.3">
      <c r="A94" s="4" t="s">
        <v>91</v>
      </c>
      <c r="B94" s="4" t="s">
        <v>281</v>
      </c>
      <c r="C94" s="4">
        <v>51</v>
      </c>
      <c r="D94" s="4">
        <v>40</v>
      </c>
      <c r="E94" s="4">
        <v>72</v>
      </c>
      <c r="F94" s="4">
        <v>91</v>
      </c>
      <c r="G94" s="4">
        <v>57</v>
      </c>
      <c r="H94" s="4" t="s">
        <v>370</v>
      </c>
      <c r="I94" s="4">
        <f t="shared" si="3"/>
        <v>311</v>
      </c>
      <c r="J94" s="4">
        <f t="shared" si="4"/>
        <v>62.2</v>
      </c>
      <c r="K94" s="4" t="str">
        <f t="shared" si="5"/>
        <v>B</v>
      </c>
    </row>
    <row r="95" spans="1:11" x14ac:dyDescent="0.3">
      <c r="A95" s="4" t="s">
        <v>92</v>
      </c>
      <c r="B95" s="4" t="s">
        <v>282</v>
      </c>
      <c r="C95" s="4">
        <v>82</v>
      </c>
      <c r="D95" s="4">
        <v>30</v>
      </c>
      <c r="E95" s="4">
        <v>81</v>
      </c>
      <c r="F95" s="4">
        <v>48</v>
      </c>
      <c r="G95" s="4">
        <v>57</v>
      </c>
      <c r="H95" s="4" t="s">
        <v>370</v>
      </c>
      <c r="I95" s="4">
        <f t="shared" si="3"/>
        <v>298</v>
      </c>
      <c r="J95" s="4">
        <f t="shared" si="4"/>
        <v>59.6</v>
      </c>
      <c r="K95" s="4" t="str">
        <f t="shared" si="5"/>
        <v>C</v>
      </c>
    </row>
    <row r="96" spans="1:11" x14ac:dyDescent="0.3">
      <c r="A96" s="4" t="s">
        <v>93</v>
      </c>
      <c r="B96" s="4" t="s">
        <v>283</v>
      </c>
      <c r="C96" s="4">
        <v>65</v>
      </c>
      <c r="D96" s="4">
        <v>79</v>
      </c>
      <c r="E96" s="4">
        <v>36</v>
      </c>
      <c r="F96" s="4">
        <v>75</v>
      </c>
      <c r="G96" s="4">
        <v>54</v>
      </c>
      <c r="H96" s="4" t="s">
        <v>370</v>
      </c>
      <c r="I96" s="4">
        <f t="shared" si="3"/>
        <v>309</v>
      </c>
      <c r="J96" s="4">
        <f t="shared" si="4"/>
        <v>61.8</v>
      </c>
      <c r="K96" s="4" t="str">
        <f t="shared" si="5"/>
        <v>B</v>
      </c>
    </row>
    <row r="97" spans="1:11" x14ac:dyDescent="0.3">
      <c r="A97" s="4" t="s">
        <v>94</v>
      </c>
      <c r="B97" s="4" t="s">
        <v>284</v>
      </c>
      <c r="C97" s="4">
        <v>99</v>
      </c>
      <c r="D97" s="4">
        <v>100</v>
      </c>
      <c r="E97" s="4">
        <v>40</v>
      </c>
      <c r="F97" s="4">
        <v>38</v>
      </c>
      <c r="G97" s="4">
        <v>76</v>
      </c>
      <c r="H97" s="4" t="s">
        <v>370</v>
      </c>
      <c r="I97" s="4">
        <f t="shared" si="3"/>
        <v>353</v>
      </c>
      <c r="J97" s="4">
        <f t="shared" si="4"/>
        <v>70.599999999999994</v>
      </c>
      <c r="K97" s="4" t="str">
        <f t="shared" si="5"/>
        <v>B</v>
      </c>
    </row>
    <row r="98" spans="1:11" x14ac:dyDescent="0.3">
      <c r="A98" s="4" t="s">
        <v>95</v>
      </c>
      <c r="B98" s="4" t="s">
        <v>285</v>
      </c>
      <c r="C98" s="4">
        <v>48</v>
      </c>
      <c r="D98" s="4">
        <v>93</v>
      </c>
      <c r="E98" s="4">
        <v>93</v>
      </c>
      <c r="F98" s="4">
        <v>85</v>
      </c>
      <c r="G98" s="4">
        <v>64</v>
      </c>
      <c r="H98" s="4" t="s">
        <v>370</v>
      </c>
      <c r="I98" s="4">
        <f t="shared" si="3"/>
        <v>383</v>
      </c>
      <c r="J98" s="4">
        <f t="shared" si="4"/>
        <v>76.599999999999994</v>
      </c>
      <c r="K98" s="4" t="str">
        <f t="shared" si="5"/>
        <v>A</v>
      </c>
    </row>
    <row r="99" spans="1:11" x14ac:dyDescent="0.3">
      <c r="A99" s="4" t="s">
        <v>96</v>
      </c>
      <c r="B99" s="4" t="s">
        <v>286</v>
      </c>
      <c r="C99" s="4">
        <v>32</v>
      </c>
      <c r="D99" s="4">
        <v>38</v>
      </c>
      <c r="E99" s="4">
        <v>45</v>
      </c>
      <c r="F99" s="4">
        <v>80</v>
      </c>
      <c r="G99" s="4">
        <v>32</v>
      </c>
      <c r="H99" s="4" t="s">
        <v>370</v>
      </c>
      <c r="I99" s="4">
        <f t="shared" si="3"/>
        <v>227</v>
      </c>
      <c r="J99" s="4">
        <f t="shared" si="4"/>
        <v>45.4</v>
      </c>
      <c r="K99" s="4" t="str">
        <f t="shared" si="5"/>
        <v>C</v>
      </c>
    </row>
    <row r="100" spans="1:11" x14ac:dyDescent="0.3">
      <c r="A100" s="4" t="s">
        <v>97</v>
      </c>
      <c r="B100" s="4" t="s">
        <v>287</v>
      </c>
      <c r="C100" s="4">
        <v>94</v>
      </c>
      <c r="D100" s="4">
        <v>98</v>
      </c>
      <c r="E100" s="4">
        <v>70</v>
      </c>
      <c r="F100" s="4">
        <v>33</v>
      </c>
      <c r="G100" s="4">
        <v>52</v>
      </c>
      <c r="H100" s="4" t="s">
        <v>370</v>
      </c>
      <c r="I100" s="4">
        <f t="shared" si="3"/>
        <v>347</v>
      </c>
      <c r="J100" s="4">
        <f t="shared" si="4"/>
        <v>69.400000000000006</v>
      </c>
      <c r="K100" s="4" t="str">
        <f t="shared" si="5"/>
        <v>B</v>
      </c>
    </row>
    <row r="101" spans="1:11" x14ac:dyDescent="0.3">
      <c r="A101" s="4" t="s">
        <v>98</v>
      </c>
      <c r="B101" s="4" t="s">
        <v>288</v>
      </c>
      <c r="C101" s="4">
        <v>89</v>
      </c>
      <c r="D101" s="4">
        <v>69</v>
      </c>
      <c r="E101" s="4">
        <v>95</v>
      </c>
      <c r="F101" s="4">
        <v>69</v>
      </c>
      <c r="G101" s="4">
        <v>35</v>
      </c>
      <c r="H101" s="4" t="s">
        <v>370</v>
      </c>
      <c r="I101" s="4">
        <f t="shared" si="3"/>
        <v>357</v>
      </c>
      <c r="J101" s="4">
        <f t="shared" si="4"/>
        <v>71.400000000000006</v>
      </c>
      <c r="K101" s="4" t="str">
        <f t="shared" si="5"/>
        <v>B</v>
      </c>
    </row>
    <row r="102" spans="1:11" x14ac:dyDescent="0.3">
      <c r="A102" s="4" t="s">
        <v>99</v>
      </c>
      <c r="B102" s="4" t="s">
        <v>289</v>
      </c>
      <c r="C102" s="4">
        <v>88</v>
      </c>
      <c r="D102" s="4">
        <v>93</v>
      </c>
      <c r="E102" s="4">
        <v>50</v>
      </c>
      <c r="F102" s="4">
        <v>41</v>
      </c>
      <c r="G102" s="4">
        <v>88</v>
      </c>
      <c r="H102" s="4" t="s">
        <v>370</v>
      </c>
      <c r="I102" s="4">
        <f t="shared" si="3"/>
        <v>360</v>
      </c>
      <c r="J102" s="4">
        <f t="shared" si="4"/>
        <v>72</v>
      </c>
      <c r="K102" s="4" t="str">
        <f t="shared" si="5"/>
        <v>B</v>
      </c>
    </row>
    <row r="103" spans="1:11" x14ac:dyDescent="0.3">
      <c r="A103" s="4" t="s">
        <v>100</v>
      </c>
      <c r="B103" s="4" t="s">
        <v>290</v>
      </c>
      <c r="C103" s="4">
        <v>40</v>
      </c>
      <c r="D103" s="4">
        <v>35</v>
      </c>
      <c r="E103" s="4">
        <v>53</v>
      </c>
      <c r="F103" s="4">
        <v>60</v>
      </c>
      <c r="G103" s="4">
        <v>95</v>
      </c>
      <c r="H103" s="4" t="s">
        <v>370</v>
      </c>
      <c r="I103" s="4">
        <f t="shared" si="3"/>
        <v>283</v>
      </c>
      <c r="J103" s="4">
        <f t="shared" si="4"/>
        <v>56.6</v>
      </c>
      <c r="K103" s="4" t="str">
        <f t="shared" si="5"/>
        <v>C</v>
      </c>
    </row>
    <row r="104" spans="1:11" x14ac:dyDescent="0.3">
      <c r="A104" s="4" t="s">
        <v>101</v>
      </c>
      <c r="B104" s="4" t="s">
        <v>234</v>
      </c>
      <c r="C104" s="4">
        <v>88</v>
      </c>
      <c r="D104" s="4">
        <v>95</v>
      </c>
      <c r="E104" s="4">
        <v>85</v>
      </c>
      <c r="F104" s="4">
        <v>96</v>
      </c>
      <c r="G104" s="4">
        <v>44</v>
      </c>
      <c r="H104" s="4" t="s">
        <v>370</v>
      </c>
      <c r="I104" s="4">
        <f t="shared" si="3"/>
        <v>408</v>
      </c>
      <c r="J104" s="4">
        <f t="shared" si="4"/>
        <v>81.599999999999994</v>
      </c>
      <c r="K104" s="4" t="str">
        <f t="shared" si="5"/>
        <v>A</v>
      </c>
    </row>
    <row r="105" spans="1:11" x14ac:dyDescent="0.3">
      <c r="A105" s="4" t="s">
        <v>102</v>
      </c>
      <c r="B105" s="4" t="s">
        <v>291</v>
      </c>
      <c r="C105" s="4">
        <v>85</v>
      </c>
      <c r="D105" s="4">
        <v>40</v>
      </c>
      <c r="E105" s="4">
        <v>30</v>
      </c>
      <c r="F105" s="4">
        <v>47</v>
      </c>
      <c r="G105" s="4">
        <v>78</v>
      </c>
      <c r="H105" s="4" t="s">
        <v>370</v>
      </c>
      <c r="I105" s="4">
        <f t="shared" si="3"/>
        <v>280</v>
      </c>
      <c r="J105" s="4">
        <f t="shared" si="4"/>
        <v>56</v>
      </c>
      <c r="K105" s="4" t="str">
        <f t="shared" si="5"/>
        <v>C</v>
      </c>
    </row>
    <row r="106" spans="1:11" x14ac:dyDescent="0.3">
      <c r="A106" s="4" t="s">
        <v>103</v>
      </c>
      <c r="B106" s="4" t="s">
        <v>292</v>
      </c>
      <c r="C106" s="4">
        <v>90</v>
      </c>
      <c r="D106" s="4">
        <v>62</v>
      </c>
      <c r="E106" s="4">
        <v>65</v>
      </c>
      <c r="F106" s="4">
        <v>38</v>
      </c>
      <c r="G106" s="4">
        <v>73</v>
      </c>
      <c r="H106" s="4" t="s">
        <v>370</v>
      </c>
      <c r="I106" s="4">
        <f t="shared" si="3"/>
        <v>328</v>
      </c>
      <c r="J106" s="4">
        <f t="shared" si="4"/>
        <v>65.599999999999994</v>
      </c>
      <c r="K106" s="4" t="str">
        <f t="shared" si="5"/>
        <v>B</v>
      </c>
    </row>
    <row r="107" spans="1:11" x14ac:dyDescent="0.3">
      <c r="A107" s="4" t="s">
        <v>104</v>
      </c>
      <c r="B107" s="4" t="s">
        <v>293</v>
      </c>
      <c r="C107" s="4">
        <v>31</v>
      </c>
      <c r="D107" s="4">
        <v>72</v>
      </c>
      <c r="E107" s="4">
        <v>40</v>
      </c>
      <c r="F107" s="4">
        <v>53</v>
      </c>
      <c r="G107" s="4">
        <v>33</v>
      </c>
      <c r="H107" s="4" t="s">
        <v>370</v>
      </c>
      <c r="I107" s="4">
        <f t="shared" si="3"/>
        <v>229</v>
      </c>
      <c r="J107" s="4">
        <f t="shared" si="4"/>
        <v>45.8</v>
      </c>
      <c r="K107" s="4" t="str">
        <f t="shared" si="5"/>
        <v>C</v>
      </c>
    </row>
    <row r="108" spans="1:11" x14ac:dyDescent="0.3">
      <c r="A108" s="4" t="s">
        <v>105</v>
      </c>
      <c r="B108" s="4" t="s">
        <v>294</v>
      </c>
      <c r="C108" s="4">
        <v>53</v>
      </c>
      <c r="D108" s="4">
        <v>58</v>
      </c>
      <c r="E108" s="4">
        <v>56</v>
      </c>
      <c r="F108" s="4">
        <v>90</v>
      </c>
      <c r="G108" s="4">
        <v>31</v>
      </c>
      <c r="H108" s="4" t="s">
        <v>370</v>
      </c>
      <c r="I108" s="4">
        <f t="shared" si="3"/>
        <v>288</v>
      </c>
      <c r="J108" s="4">
        <f t="shared" si="4"/>
        <v>57.6</v>
      </c>
      <c r="K108" s="4" t="str">
        <f t="shared" si="5"/>
        <v>C</v>
      </c>
    </row>
    <row r="109" spans="1:11" x14ac:dyDescent="0.3">
      <c r="A109" s="4" t="s">
        <v>106</v>
      </c>
      <c r="B109" s="4" t="s">
        <v>295</v>
      </c>
      <c r="C109" s="4">
        <v>54</v>
      </c>
      <c r="D109" s="4">
        <v>76</v>
      </c>
      <c r="E109" s="4">
        <v>44</v>
      </c>
      <c r="F109" s="4">
        <v>50</v>
      </c>
      <c r="G109" s="4">
        <v>40</v>
      </c>
      <c r="H109" s="4" t="s">
        <v>370</v>
      </c>
      <c r="I109" s="4">
        <f t="shared" si="3"/>
        <v>264</v>
      </c>
      <c r="J109" s="4">
        <f t="shared" si="4"/>
        <v>52.8</v>
      </c>
      <c r="K109" s="4" t="str">
        <f t="shared" si="5"/>
        <v>C</v>
      </c>
    </row>
    <row r="110" spans="1:11" x14ac:dyDescent="0.3">
      <c r="A110" s="4" t="s">
        <v>107</v>
      </c>
      <c r="B110" s="4" t="s">
        <v>296</v>
      </c>
      <c r="C110" s="4">
        <v>87</v>
      </c>
      <c r="D110" s="4">
        <v>93</v>
      </c>
      <c r="E110" s="4">
        <v>48</v>
      </c>
      <c r="F110" s="4">
        <v>47</v>
      </c>
      <c r="G110" s="4">
        <v>62</v>
      </c>
      <c r="H110" s="4" t="s">
        <v>370</v>
      </c>
      <c r="I110" s="4">
        <f t="shared" si="3"/>
        <v>337</v>
      </c>
      <c r="J110" s="4">
        <f t="shared" si="4"/>
        <v>67.400000000000006</v>
      </c>
      <c r="K110" s="4" t="str">
        <f t="shared" si="5"/>
        <v>B</v>
      </c>
    </row>
    <row r="111" spans="1:11" x14ac:dyDescent="0.3">
      <c r="A111" s="4" t="s">
        <v>108</v>
      </c>
      <c r="B111" s="4" t="s">
        <v>297</v>
      </c>
      <c r="C111" s="4">
        <v>43</v>
      </c>
      <c r="D111" s="4">
        <v>63</v>
      </c>
      <c r="E111" s="4">
        <v>84</v>
      </c>
      <c r="F111" s="4">
        <v>94</v>
      </c>
      <c r="G111" s="4">
        <v>56</v>
      </c>
      <c r="H111" s="4" t="s">
        <v>370</v>
      </c>
      <c r="I111" s="4">
        <f t="shared" si="3"/>
        <v>340</v>
      </c>
      <c r="J111" s="4">
        <f t="shared" si="4"/>
        <v>68</v>
      </c>
      <c r="K111" s="4" t="str">
        <f t="shared" si="5"/>
        <v>B</v>
      </c>
    </row>
    <row r="112" spans="1:11" x14ac:dyDescent="0.3">
      <c r="A112" s="4" t="s">
        <v>109</v>
      </c>
      <c r="B112" s="4" t="s">
        <v>245</v>
      </c>
      <c r="C112" s="4">
        <v>80</v>
      </c>
      <c r="D112" s="4">
        <v>34</v>
      </c>
      <c r="E112" s="4">
        <v>30</v>
      </c>
      <c r="F112" s="4">
        <v>54</v>
      </c>
      <c r="G112" s="4">
        <v>43</v>
      </c>
      <c r="H112" s="4" t="s">
        <v>370</v>
      </c>
      <c r="I112" s="4">
        <f t="shared" si="3"/>
        <v>241</v>
      </c>
      <c r="J112" s="4">
        <f t="shared" si="4"/>
        <v>48.2</v>
      </c>
      <c r="K112" s="4" t="str">
        <f t="shared" si="5"/>
        <v>C</v>
      </c>
    </row>
    <row r="113" spans="1:11" x14ac:dyDescent="0.3">
      <c r="A113" s="4" t="s">
        <v>110</v>
      </c>
      <c r="B113" s="4" t="s">
        <v>298</v>
      </c>
      <c r="C113" s="4">
        <v>92</v>
      </c>
      <c r="D113" s="4">
        <v>44</v>
      </c>
      <c r="E113" s="4">
        <v>71</v>
      </c>
      <c r="F113" s="4">
        <v>70</v>
      </c>
      <c r="G113" s="4">
        <v>85</v>
      </c>
      <c r="H113" s="4" t="s">
        <v>370</v>
      </c>
      <c r="I113" s="4">
        <f t="shared" si="3"/>
        <v>362</v>
      </c>
      <c r="J113" s="4">
        <f t="shared" si="4"/>
        <v>72.400000000000006</v>
      </c>
      <c r="K113" s="4" t="str">
        <f t="shared" si="5"/>
        <v>B</v>
      </c>
    </row>
    <row r="114" spans="1:11" x14ac:dyDescent="0.3">
      <c r="A114" s="4" t="s">
        <v>111</v>
      </c>
      <c r="B114" s="4" t="s">
        <v>299</v>
      </c>
      <c r="C114" s="4">
        <v>48</v>
      </c>
      <c r="D114" s="4">
        <v>30</v>
      </c>
      <c r="E114" s="4">
        <v>83</v>
      </c>
      <c r="F114" s="4">
        <v>84</v>
      </c>
      <c r="G114" s="4">
        <v>68</v>
      </c>
      <c r="H114" s="4" t="s">
        <v>370</v>
      </c>
      <c r="I114" s="4">
        <f t="shared" si="3"/>
        <v>313</v>
      </c>
      <c r="J114" s="4">
        <f t="shared" si="4"/>
        <v>62.6</v>
      </c>
      <c r="K114" s="4" t="str">
        <f t="shared" si="5"/>
        <v>B</v>
      </c>
    </row>
    <row r="115" spans="1:11" x14ac:dyDescent="0.3">
      <c r="A115" s="4" t="s">
        <v>112</v>
      </c>
      <c r="B115" s="4" t="s">
        <v>300</v>
      </c>
      <c r="C115" s="4">
        <v>45</v>
      </c>
      <c r="D115" s="4">
        <v>90</v>
      </c>
      <c r="E115" s="4">
        <v>77</v>
      </c>
      <c r="F115" s="4">
        <v>88</v>
      </c>
      <c r="G115" s="4">
        <v>80</v>
      </c>
      <c r="H115" s="4" t="s">
        <v>370</v>
      </c>
      <c r="I115" s="4">
        <f t="shared" si="3"/>
        <v>380</v>
      </c>
      <c r="J115" s="4">
        <f t="shared" si="4"/>
        <v>76</v>
      </c>
      <c r="K115" s="4" t="str">
        <f t="shared" si="5"/>
        <v>A</v>
      </c>
    </row>
    <row r="116" spans="1:11" x14ac:dyDescent="0.3">
      <c r="A116" s="4" t="s">
        <v>113</v>
      </c>
      <c r="B116" s="4" t="s">
        <v>301</v>
      </c>
      <c r="C116" s="4">
        <v>50</v>
      </c>
      <c r="D116" s="4">
        <v>88</v>
      </c>
      <c r="E116" s="4">
        <v>90</v>
      </c>
      <c r="F116" s="4">
        <v>89</v>
      </c>
      <c r="G116" s="4">
        <v>97</v>
      </c>
      <c r="H116" s="4" t="s">
        <v>370</v>
      </c>
      <c r="I116" s="4">
        <f t="shared" si="3"/>
        <v>414</v>
      </c>
      <c r="J116" s="4">
        <f t="shared" si="4"/>
        <v>82.8</v>
      </c>
      <c r="K116" s="4" t="str">
        <f t="shared" si="5"/>
        <v>A</v>
      </c>
    </row>
    <row r="117" spans="1:11" x14ac:dyDescent="0.3">
      <c r="A117" s="4" t="s">
        <v>114</v>
      </c>
      <c r="B117" s="4" t="s">
        <v>252</v>
      </c>
      <c r="C117" s="4">
        <v>81</v>
      </c>
      <c r="D117" s="4">
        <v>39</v>
      </c>
      <c r="E117" s="4">
        <v>50</v>
      </c>
      <c r="F117" s="4">
        <v>65</v>
      </c>
      <c r="G117" s="4">
        <v>65</v>
      </c>
      <c r="H117" s="4" t="s">
        <v>370</v>
      </c>
      <c r="I117" s="4">
        <f t="shared" si="3"/>
        <v>300</v>
      </c>
      <c r="J117" s="4">
        <f t="shared" si="4"/>
        <v>60</v>
      </c>
      <c r="K117" s="4" t="str">
        <f t="shared" si="5"/>
        <v>B</v>
      </c>
    </row>
    <row r="118" spans="1:11" x14ac:dyDescent="0.3">
      <c r="A118" s="4" t="s">
        <v>115</v>
      </c>
      <c r="B118" s="4" t="s">
        <v>294</v>
      </c>
      <c r="C118" s="4">
        <v>77</v>
      </c>
      <c r="D118" s="4">
        <v>95</v>
      </c>
      <c r="E118" s="4">
        <v>95</v>
      </c>
      <c r="F118" s="4">
        <v>68</v>
      </c>
      <c r="G118" s="4">
        <v>66</v>
      </c>
      <c r="H118" s="4" t="s">
        <v>370</v>
      </c>
      <c r="I118" s="4">
        <f t="shared" si="3"/>
        <v>401</v>
      </c>
      <c r="J118" s="4">
        <f t="shared" si="4"/>
        <v>80.2</v>
      </c>
      <c r="K118" s="4" t="str">
        <f t="shared" si="5"/>
        <v>A</v>
      </c>
    </row>
    <row r="119" spans="1:11" x14ac:dyDescent="0.3">
      <c r="A119" s="4" t="s">
        <v>116</v>
      </c>
      <c r="B119" s="4" t="s">
        <v>302</v>
      </c>
      <c r="C119" s="4">
        <v>90</v>
      </c>
      <c r="D119" s="4">
        <v>72</v>
      </c>
      <c r="E119" s="4">
        <v>73</v>
      </c>
      <c r="F119" s="4">
        <v>62</v>
      </c>
      <c r="G119" s="4">
        <v>86</v>
      </c>
      <c r="H119" s="4" t="s">
        <v>370</v>
      </c>
      <c r="I119" s="4">
        <f t="shared" si="3"/>
        <v>383</v>
      </c>
      <c r="J119" s="4">
        <f t="shared" si="4"/>
        <v>76.599999999999994</v>
      </c>
      <c r="K119" s="4" t="str">
        <f t="shared" si="5"/>
        <v>A</v>
      </c>
    </row>
    <row r="120" spans="1:11" x14ac:dyDescent="0.3">
      <c r="A120" s="4" t="s">
        <v>117</v>
      </c>
      <c r="B120" s="4" t="s">
        <v>303</v>
      </c>
      <c r="C120" s="4">
        <v>42</v>
      </c>
      <c r="D120" s="4">
        <v>38</v>
      </c>
      <c r="E120" s="4">
        <v>62</v>
      </c>
      <c r="F120" s="4">
        <v>73</v>
      </c>
      <c r="G120" s="4">
        <v>60</v>
      </c>
      <c r="H120" s="4" t="s">
        <v>370</v>
      </c>
      <c r="I120" s="4">
        <f t="shared" si="3"/>
        <v>275</v>
      </c>
      <c r="J120" s="4">
        <f t="shared" si="4"/>
        <v>55</v>
      </c>
      <c r="K120" s="4" t="str">
        <f t="shared" si="5"/>
        <v>C</v>
      </c>
    </row>
    <row r="121" spans="1:11" x14ac:dyDescent="0.3">
      <c r="A121" s="4" t="s">
        <v>118</v>
      </c>
      <c r="B121" s="4" t="s">
        <v>210</v>
      </c>
      <c r="C121" s="4">
        <v>47</v>
      </c>
      <c r="D121" s="4">
        <v>76</v>
      </c>
      <c r="E121" s="4">
        <v>46</v>
      </c>
      <c r="F121" s="4">
        <v>68</v>
      </c>
      <c r="G121" s="4">
        <v>78</v>
      </c>
      <c r="H121" s="4" t="s">
        <v>370</v>
      </c>
      <c r="I121" s="4">
        <f t="shared" si="3"/>
        <v>315</v>
      </c>
      <c r="J121" s="4">
        <f t="shared" si="4"/>
        <v>63</v>
      </c>
      <c r="K121" s="4" t="str">
        <f t="shared" si="5"/>
        <v>B</v>
      </c>
    </row>
    <row r="122" spans="1:11" x14ac:dyDescent="0.3">
      <c r="A122" s="4" t="s">
        <v>119</v>
      </c>
      <c r="B122" s="4" t="s">
        <v>261</v>
      </c>
      <c r="C122" s="4">
        <v>94</v>
      </c>
      <c r="D122" s="4">
        <v>79</v>
      </c>
      <c r="E122" s="4">
        <v>83</v>
      </c>
      <c r="F122" s="4">
        <v>95</v>
      </c>
      <c r="G122" s="4">
        <v>51</v>
      </c>
      <c r="H122" s="4" t="s">
        <v>370</v>
      </c>
      <c r="I122" s="4">
        <f t="shared" si="3"/>
        <v>402</v>
      </c>
      <c r="J122" s="4">
        <f t="shared" si="4"/>
        <v>80.400000000000006</v>
      </c>
      <c r="K122" s="4" t="str">
        <f t="shared" si="5"/>
        <v>A</v>
      </c>
    </row>
    <row r="123" spans="1:11" x14ac:dyDescent="0.3">
      <c r="A123" s="4" t="s">
        <v>120</v>
      </c>
      <c r="B123" s="4" t="s">
        <v>304</v>
      </c>
      <c r="C123" s="4">
        <v>91</v>
      </c>
      <c r="D123" s="4">
        <v>34</v>
      </c>
      <c r="E123" s="4">
        <v>81</v>
      </c>
      <c r="F123" s="4">
        <v>82</v>
      </c>
      <c r="G123" s="4">
        <v>90</v>
      </c>
      <c r="H123" s="4" t="s">
        <v>370</v>
      </c>
      <c r="I123" s="4">
        <f t="shared" si="3"/>
        <v>378</v>
      </c>
      <c r="J123" s="4">
        <f t="shared" si="4"/>
        <v>75.599999999999994</v>
      </c>
      <c r="K123" s="4" t="str">
        <f t="shared" si="5"/>
        <v>A</v>
      </c>
    </row>
    <row r="124" spans="1:11" x14ac:dyDescent="0.3">
      <c r="A124" s="4" t="s">
        <v>121</v>
      </c>
      <c r="B124" s="4" t="s">
        <v>305</v>
      </c>
      <c r="C124" s="4">
        <v>92</v>
      </c>
      <c r="D124" s="4">
        <v>51</v>
      </c>
      <c r="E124" s="4">
        <v>41</v>
      </c>
      <c r="F124" s="4">
        <v>48</v>
      </c>
      <c r="G124" s="4">
        <v>92</v>
      </c>
      <c r="H124" s="4" t="s">
        <v>370</v>
      </c>
      <c r="I124" s="4">
        <f t="shared" si="3"/>
        <v>324</v>
      </c>
      <c r="J124" s="4">
        <f t="shared" si="4"/>
        <v>64.8</v>
      </c>
      <c r="K124" s="4" t="str">
        <f t="shared" si="5"/>
        <v>B</v>
      </c>
    </row>
    <row r="125" spans="1:11" x14ac:dyDescent="0.3">
      <c r="A125" s="4" t="s">
        <v>122</v>
      </c>
      <c r="B125" s="4" t="s">
        <v>243</v>
      </c>
      <c r="C125" s="4">
        <v>84</v>
      </c>
      <c r="D125" s="4">
        <v>55</v>
      </c>
      <c r="E125" s="4">
        <v>48</v>
      </c>
      <c r="F125" s="4">
        <v>42</v>
      </c>
      <c r="G125" s="4">
        <v>50</v>
      </c>
      <c r="H125" s="4" t="s">
        <v>370</v>
      </c>
      <c r="I125" s="4">
        <f t="shared" si="3"/>
        <v>279</v>
      </c>
      <c r="J125" s="4">
        <f t="shared" si="4"/>
        <v>55.8</v>
      </c>
      <c r="K125" s="4" t="str">
        <f t="shared" si="5"/>
        <v>C</v>
      </c>
    </row>
    <row r="126" spans="1:11" x14ac:dyDescent="0.3">
      <c r="A126" s="4" t="s">
        <v>123</v>
      </c>
      <c r="B126" s="4" t="s">
        <v>250</v>
      </c>
      <c r="C126" s="4">
        <v>62</v>
      </c>
      <c r="D126" s="4">
        <v>72</v>
      </c>
      <c r="E126" s="4">
        <v>51</v>
      </c>
      <c r="F126" s="4">
        <v>98</v>
      </c>
      <c r="G126" s="4">
        <v>87</v>
      </c>
      <c r="H126" s="4" t="s">
        <v>370</v>
      </c>
      <c r="I126" s="4">
        <f t="shared" si="3"/>
        <v>370</v>
      </c>
      <c r="J126" s="4">
        <f t="shared" si="4"/>
        <v>74</v>
      </c>
      <c r="K126" s="4" t="str">
        <f t="shared" si="5"/>
        <v>B</v>
      </c>
    </row>
    <row r="127" spans="1:11" x14ac:dyDescent="0.3">
      <c r="A127" s="4" t="s">
        <v>124</v>
      </c>
      <c r="B127" s="4" t="s">
        <v>306</v>
      </c>
      <c r="C127" s="4">
        <v>59</v>
      </c>
      <c r="D127" s="4">
        <v>82</v>
      </c>
      <c r="E127" s="4">
        <v>97</v>
      </c>
      <c r="F127" s="4">
        <v>75</v>
      </c>
      <c r="G127" s="4">
        <v>92</v>
      </c>
      <c r="H127" s="4" t="s">
        <v>370</v>
      </c>
      <c r="I127" s="4">
        <f t="shared" si="3"/>
        <v>405</v>
      </c>
      <c r="J127" s="4">
        <f t="shared" si="4"/>
        <v>81</v>
      </c>
      <c r="K127" s="4" t="str">
        <f t="shared" si="5"/>
        <v>A</v>
      </c>
    </row>
    <row r="128" spans="1:11" x14ac:dyDescent="0.3">
      <c r="A128" s="4" t="s">
        <v>125</v>
      </c>
      <c r="B128" s="4" t="s">
        <v>307</v>
      </c>
      <c r="C128" s="4">
        <v>96</v>
      </c>
      <c r="D128" s="4">
        <v>54</v>
      </c>
      <c r="E128" s="4">
        <v>34</v>
      </c>
      <c r="F128" s="4">
        <v>86</v>
      </c>
      <c r="G128" s="4">
        <v>64</v>
      </c>
      <c r="H128" s="4" t="s">
        <v>370</v>
      </c>
      <c r="I128" s="4">
        <f t="shared" si="3"/>
        <v>334</v>
      </c>
      <c r="J128" s="4">
        <f t="shared" si="4"/>
        <v>66.8</v>
      </c>
      <c r="K128" s="4" t="str">
        <f t="shared" si="5"/>
        <v>B</v>
      </c>
    </row>
    <row r="129" spans="1:11" x14ac:dyDescent="0.3">
      <c r="A129" s="4" t="s">
        <v>126</v>
      </c>
      <c r="B129" s="4" t="s">
        <v>308</v>
      </c>
      <c r="C129" s="4">
        <v>67</v>
      </c>
      <c r="D129" s="4">
        <v>77</v>
      </c>
      <c r="E129" s="4">
        <v>60</v>
      </c>
      <c r="F129" s="4">
        <v>55</v>
      </c>
      <c r="G129" s="4">
        <v>50</v>
      </c>
      <c r="H129" s="4" t="s">
        <v>370</v>
      </c>
      <c r="I129" s="4">
        <f t="shared" si="3"/>
        <v>309</v>
      </c>
      <c r="J129" s="4">
        <f t="shared" si="4"/>
        <v>61.8</v>
      </c>
      <c r="K129" s="4" t="str">
        <f t="shared" si="5"/>
        <v>B</v>
      </c>
    </row>
    <row r="130" spans="1:11" x14ac:dyDescent="0.3">
      <c r="A130" s="4" t="s">
        <v>127</v>
      </c>
      <c r="B130" s="4" t="s">
        <v>309</v>
      </c>
      <c r="C130" s="4">
        <v>51</v>
      </c>
      <c r="D130" s="4">
        <v>95</v>
      </c>
      <c r="E130" s="4">
        <v>47</v>
      </c>
      <c r="F130" s="4">
        <v>56</v>
      </c>
      <c r="G130" s="4">
        <v>44</v>
      </c>
      <c r="H130" s="4" t="s">
        <v>370</v>
      </c>
      <c r="I130" s="4">
        <f t="shared" si="3"/>
        <v>293</v>
      </c>
      <c r="J130" s="4">
        <f t="shared" si="4"/>
        <v>58.6</v>
      </c>
      <c r="K130" s="4" t="str">
        <f t="shared" si="5"/>
        <v>C</v>
      </c>
    </row>
    <row r="131" spans="1:11" x14ac:dyDescent="0.3">
      <c r="A131" s="4" t="s">
        <v>128</v>
      </c>
      <c r="B131" s="4" t="s">
        <v>310</v>
      </c>
      <c r="C131" s="4">
        <v>60</v>
      </c>
      <c r="D131" s="4">
        <v>30</v>
      </c>
      <c r="E131" s="4">
        <v>61</v>
      </c>
      <c r="F131" s="4">
        <v>84</v>
      </c>
      <c r="G131" s="4">
        <v>59</v>
      </c>
      <c r="H131" s="4" t="s">
        <v>370</v>
      </c>
      <c r="I131" s="4">
        <f t="shared" si="3"/>
        <v>294</v>
      </c>
      <c r="J131" s="4">
        <f t="shared" si="4"/>
        <v>58.8</v>
      </c>
      <c r="K131" s="4" t="str">
        <f t="shared" si="5"/>
        <v>C</v>
      </c>
    </row>
    <row r="132" spans="1:11" x14ac:dyDescent="0.3">
      <c r="A132" s="4" t="s">
        <v>129</v>
      </c>
      <c r="B132" s="4" t="s">
        <v>311</v>
      </c>
      <c r="C132" s="4">
        <v>97</v>
      </c>
      <c r="D132" s="4">
        <v>31</v>
      </c>
      <c r="E132" s="4">
        <v>38</v>
      </c>
      <c r="F132" s="4">
        <v>56</v>
      </c>
      <c r="G132" s="4">
        <v>60</v>
      </c>
      <c r="H132" s="4" t="s">
        <v>370</v>
      </c>
      <c r="I132" s="4">
        <f t="shared" si="3"/>
        <v>282</v>
      </c>
      <c r="J132" s="4">
        <f t="shared" si="4"/>
        <v>56.4</v>
      </c>
      <c r="K132" s="4" t="str">
        <f t="shared" si="5"/>
        <v>C</v>
      </c>
    </row>
    <row r="133" spans="1:11" x14ac:dyDescent="0.3">
      <c r="A133" s="4" t="s">
        <v>130</v>
      </c>
      <c r="B133" s="4" t="s">
        <v>233</v>
      </c>
      <c r="C133" s="4">
        <v>91</v>
      </c>
      <c r="D133" s="4">
        <v>56</v>
      </c>
      <c r="E133" s="4">
        <v>90</v>
      </c>
      <c r="F133" s="4">
        <v>94</v>
      </c>
      <c r="G133" s="4">
        <v>73</v>
      </c>
      <c r="H133" s="4" t="s">
        <v>370</v>
      </c>
      <c r="I133" s="4">
        <f t="shared" si="3"/>
        <v>404</v>
      </c>
      <c r="J133" s="4">
        <f t="shared" si="4"/>
        <v>80.8</v>
      </c>
      <c r="K133" s="4" t="str">
        <f t="shared" si="5"/>
        <v>A</v>
      </c>
    </row>
    <row r="134" spans="1:11" x14ac:dyDescent="0.3">
      <c r="A134" s="4" t="s">
        <v>131</v>
      </c>
      <c r="B134" s="4" t="s">
        <v>312</v>
      </c>
      <c r="C134" s="4">
        <v>84</v>
      </c>
      <c r="D134" s="4">
        <v>59</v>
      </c>
      <c r="E134" s="4">
        <v>92</v>
      </c>
      <c r="F134" s="4">
        <v>38</v>
      </c>
      <c r="G134" s="4">
        <v>61</v>
      </c>
      <c r="H134" s="4" t="s">
        <v>370</v>
      </c>
      <c r="I134" s="4">
        <f t="shared" si="3"/>
        <v>334</v>
      </c>
      <c r="J134" s="4">
        <f t="shared" si="4"/>
        <v>66.8</v>
      </c>
      <c r="K134" s="4" t="str">
        <f t="shared" si="5"/>
        <v>B</v>
      </c>
    </row>
    <row r="135" spans="1:11" x14ac:dyDescent="0.3">
      <c r="A135" s="4" t="s">
        <v>132</v>
      </c>
      <c r="B135" s="4" t="s">
        <v>313</v>
      </c>
      <c r="C135" s="4">
        <v>80</v>
      </c>
      <c r="D135" s="4">
        <v>97</v>
      </c>
      <c r="E135" s="4">
        <v>84</v>
      </c>
      <c r="F135" s="4">
        <v>87</v>
      </c>
      <c r="G135" s="4">
        <v>36</v>
      </c>
      <c r="H135" s="4" t="s">
        <v>370</v>
      </c>
      <c r="I135" s="4">
        <f t="shared" si="3"/>
        <v>384</v>
      </c>
      <c r="J135" s="4">
        <f t="shared" si="4"/>
        <v>76.8</v>
      </c>
      <c r="K135" s="4" t="str">
        <f t="shared" si="5"/>
        <v>A</v>
      </c>
    </row>
    <row r="136" spans="1:11" x14ac:dyDescent="0.3">
      <c r="A136" s="4" t="s">
        <v>133</v>
      </c>
      <c r="B136" s="4" t="s">
        <v>314</v>
      </c>
      <c r="C136" s="4">
        <v>30</v>
      </c>
      <c r="D136" s="4">
        <v>64</v>
      </c>
      <c r="E136" s="4">
        <v>92</v>
      </c>
      <c r="F136" s="4">
        <v>90</v>
      </c>
      <c r="G136" s="4">
        <v>39</v>
      </c>
      <c r="H136" s="4" t="s">
        <v>370</v>
      </c>
      <c r="I136" s="4">
        <f t="shared" ref="I136:I199" si="6">SUM(C136:G136)</f>
        <v>315</v>
      </c>
      <c r="J136" s="4">
        <f t="shared" ref="J136:J199" si="7">AVERAGE(C136:G136)</f>
        <v>63</v>
      </c>
      <c r="K136" s="4" t="str">
        <f t="shared" ref="K136:K199" si="8">IF(J136&gt;=90,"A+",IF(J136&gt;=75,"A",IF(J136&gt;=60,"B",IF(J136&gt;=45,"C","Fail"))))</f>
        <v>B</v>
      </c>
    </row>
    <row r="137" spans="1:11" x14ac:dyDescent="0.3">
      <c r="A137" s="4" t="s">
        <v>134</v>
      </c>
      <c r="B137" s="4" t="s">
        <v>315</v>
      </c>
      <c r="C137" s="4">
        <v>99</v>
      </c>
      <c r="D137" s="4">
        <v>96</v>
      </c>
      <c r="E137" s="4">
        <v>51</v>
      </c>
      <c r="F137" s="4">
        <v>83</v>
      </c>
      <c r="G137" s="4">
        <v>42</v>
      </c>
      <c r="H137" s="4" t="s">
        <v>370</v>
      </c>
      <c r="I137" s="4">
        <f t="shared" si="6"/>
        <v>371</v>
      </c>
      <c r="J137" s="4">
        <f t="shared" si="7"/>
        <v>74.2</v>
      </c>
      <c r="K137" s="4" t="str">
        <f t="shared" si="8"/>
        <v>B</v>
      </c>
    </row>
    <row r="138" spans="1:11" x14ac:dyDescent="0.3">
      <c r="A138" s="4" t="s">
        <v>135</v>
      </c>
      <c r="B138" s="4" t="s">
        <v>316</v>
      </c>
      <c r="C138" s="4">
        <v>39</v>
      </c>
      <c r="D138" s="4">
        <v>100</v>
      </c>
      <c r="E138" s="4">
        <v>40</v>
      </c>
      <c r="F138" s="4">
        <v>40</v>
      </c>
      <c r="G138" s="4">
        <v>30</v>
      </c>
      <c r="H138" s="4" t="s">
        <v>370</v>
      </c>
      <c r="I138" s="4">
        <f t="shared" si="6"/>
        <v>249</v>
      </c>
      <c r="J138" s="4">
        <f t="shared" si="7"/>
        <v>49.8</v>
      </c>
      <c r="K138" s="4" t="str">
        <f t="shared" si="8"/>
        <v>C</v>
      </c>
    </row>
    <row r="139" spans="1:11" x14ac:dyDescent="0.3">
      <c r="A139" s="4" t="s">
        <v>136</v>
      </c>
      <c r="B139" s="4" t="s">
        <v>317</v>
      </c>
      <c r="C139" s="4">
        <v>89</v>
      </c>
      <c r="D139" s="4">
        <v>100</v>
      </c>
      <c r="E139" s="4">
        <v>72</v>
      </c>
      <c r="F139" s="4">
        <v>34</v>
      </c>
      <c r="G139" s="4">
        <v>61</v>
      </c>
      <c r="H139" s="4" t="s">
        <v>370</v>
      </c>
      <c r="I139" s="4">
        <f t="shared" si="6"/>
        <v>356</v>
      </c>
      <c r="J139" s="4">
        <f t="shared" si="7"/>
        <v>71.2</v>
      </c>
      <c r="K139" s="4" t="str">
        <f t="shared" si="8"/>
        <v>B</v>
      </c>
    </row>
    <row r="140" spans="1:11" x14ac:dyDescent="0.3">
      <c r="A140" s="4" t="s">
        <v>137</v>
      </c>
      <c r="B140" s="4" t="s">
        <v>318</v>
      </c>
      <c r="C140" s="4">
        <v>96</v>
      </c>
      <c r="D140" s="4">
        <v>79</v>
      </c>
      <c r="E140" s="4">
        <v>69</v>
      </c>
      <c r="F140" s="4">
        <v>86</v>
      </c>
      <c r="G140" s="4">
        <v>37</v>
      </c>
      <c r="H140" s="4" t="s">
        <v>370</v>
      </c>
      <c r="I140" s="4">
        <f t="shared" si="6"/>
        <v>367</v>
      </c>
      <c r="J140" s="4">
        <f t="shared" si="7"/>
        <v>73.400000000000006</v>
      </c>
      <c r="K140" s="4" t="str">
        <f t="shared" si="8"/>
        <v>B</v>
      </c>
    </row>
    <row r="141" spans="1:11" x14ac:dyDescent="0.3">
      <c r="A141" s="4" t="s">
        <v>138</v>
      </c>
      <c r="B141" s="4" t="s">
        <v>319</v>
      </c>
      <c r="C141" s="4">
        <v>88</v>
      </c>
      <c r="D141" s="4">
        <v>63</v>
      </c>
      <c r="E141" s="4">
        <v>57</v>
      </c>
      <c r="F141" s="4">
        <v>87</v>
      </c>
      <c r="G141" s="4">
        <v>87</v>
      </c>
      <c r="H141" s="4" t="s">
        <v>370</v>
      </c>
      <c r="I141" s="4">
        <f t="shared" si="6"/>
        <v>382</v>
      </c>
      <c r="J141" s="4">
        <f t="shared" si="7"/>
        <v>76.400000000000006</v>
      </c>
      <c r="K141" s="4" t="str">
        <f t="shared" si="8"/>
        <v>A</v>
      </c>
    </row>
    <row r="142" spans="1:11" x14ac:dyDescent="0.3">
      <c r="A142" s="4" t="s">
        <v>139</v>
      </c>
      <c r="B142" s="4" t="s">
        <v>267</v>
      </c>
      <c r="C142" s="4">
        <v>42</v>
      </c>
      <c r="D142" s="4">
        <v>90</v>
      </c>
      <c r="E142" s="4">
        <v>58</v>
      </c>
      <c r="F142" s="4">
        <v>57</v>
      </c>
      <c r="G142" s="4">
        <v>62</v>
      </c>
      <c r="H142" s="4" t="s">
        <v>370</v>
      </c>
      <c r="I142" s="4">
        <f t="shared" si="6"/>
        <v>309</v>
      </c>
      <c r="J142" s="4">
        <f t="shared" si="7"/>
        <v>61.8</v>
      </c>
      <c r="K142" s="4" t="str">
        <f t="shared" si="8"/>
        <v>B</v>
      </c>
    </row>
    <row r="143" spans="1:11" x14ac:dyDescent="0.3">
      <c r="A143" s="4" t="s">
        <v>140</v>
      </c>
      <c r="B143" s="4" t="s">
        <v>309</v>
      </c>
      <c r="C143" s="4">
        <v>72</v>
      </c>
      <c r="D143" s="4">
        <v>98</v>
      </c>
      <c r="E143" s="4">
        <v>58</v>
      </c>
      <c r="F143" s="4">
        <v>64</v>
      </c>
      <c r="G143" s="4">
        <v>53</v>
      </c>
      <c r="H143" s="4" t="s">
        <v>370</v>
      </c>
      <c r="I143" s="4">
        <f t="shared" si="6"/>
        <v>345</v>
      </c>
      <c r="J143" s="4">
        <f t="shared" si="7"/>
        <v>69</v>
      </c>
      <c r="K143" s="4" t="str">
        <f t="shared" si="8"/>
        <v>B</v>
      </c>
    </row>
    <row r="144" spans="1:11" x14ac:dyDescent="0.3">
      <c r="A144" s="4" t="s">
        <v>141</v>
      </c>
      <c r="B144" s="4" t="s">
        <v>320</v>
      </c>
      <c r="C144" s="4">
        <v>66</v>
      </c>
      <c r="D144" s="4">
        <v>86</v>
      </c>
      <c r="E144" s="4">
        <v>71</v>
      </c>
      <c r="F144" s="4">
        <v>63</v>
      </c>
      <c r="G144" s="4">
        <v>84</v>
      </c>
      <c r="H144" s="4" t="s">
        <v>370</v>
      </c>
      <c r="I144" s="4">
        <f t="shared" si="6"/>
        <v>370</v>
      </c>
      <c r="J144" s="4">
        <f t="shared" si="7"/>
        <v>74</v>
      </c>
      <c r="K144" s="4" t="str">
        <f t="shared" si="8"/>
        <v>B</v>
      </c>
    </row>
    <row r="145" spans="1:11" x14ac:dyDescent="0.3">
      <c r="A145" s="4" t="s">
        <v>142</v>
      </c>
      <c r="B145" s="4" t="s">
        <v>321</v>
      </c>
      <c r="C145" s="4">
        <v>80</v>
      </c>
      <c r="D145" s="4">
        <v>38</v>
      </c>
      <c r="E145" s="4">
        <v>78</v>
      </c>
      <c r="F145" s="4">
        <v>50</v>
      </c>
      <c r="G145" s="4">
        <v>57</v>
      </c>
      <c r="H145" s="4" t="s">
        <v>370</v>
      </c>
      <c r="I145" s="4">
        <f t="shared" si="6"/>
        <v>303</v>
      </c>
      <c r="J145" s="4">
        <f t="shared" si="7"/>
        <v>60.6</v>
      </c>
      <c r="K145" s="4" t="str">
        <f t="shared" si="8"/>
        <v>B</v>
      </c>
    </row>
    <row r="146" spans="1:11" x14ac:dyDescent="0.3">
      <c r="A146" s="4" t="s">
        <v>143</v>
      </c>
      <c r="B146" s="4" t="s">
        <v>322</v>
      </c>
      <c r="C146" s="4">
        <v>71</v>
      </c>
      <c r="D146" s="4">
        <v>86</v>
      </c>
      <c r="E146" s="4">
        <v>72</v>
      </c>
      <c r="F146" s="4">
        <v>62</v>
      </c>
      <c r="G146" s="4">
        <v>87</v>
      </c>
      <c r="H146" s="4" t="s">
        <v>370</v>
      </c>
      <c r="I146" s="4">
        <f t="shared" si="6"/>
        <v>378</v>
      </c>
      <c r="J146" s="4">
        <f t="shared" si="7"/>
        <v>75.599999999999994</v>
      </c>
      <c r="K146" s="4" t="str">
        <f t="shared" si="8"/>
        <v>A</v>
      </c>
    </row>
    <row r="147" spans="1:11" x14ac:dyDescent="0.3">
      <c r="A147" s="4" t="s">
        <v>144</v>
      </c>
      <c r="B147" s="4" t="s">
        <v>239</v>
      </c>
      <c r="C147" s="4">
        <v>58</v>
      </c>
      <c r="D147" s="4">
        <v>43</v>
      </c>
      <c r="E147" s="4">
        <v>62</v>
      </c>
      <c r="F147" s="4">
        <v>42</v>
      </c>
      <c r="G147" s="4">
        <v>48</v>
      </c>
      <c r="H147" s="4" t="s">
        <v>370</v>
      </c>
      <c r="I147" s="4">
        <f t="shared" si="6"/>
        <v>253</v>
      </c>
      <c r="J147" s="4">
        <f t="shared" si="7"/>
        <v>50.6</v>
      </c>
      <c r="K147" s="4" t="str">
        <f t="shared" si="8"/>
        <v>C</v>
      </c>
    </row>
    <row r="148" spans="1:11" x14ac:dyDescent="0.3">
      <c r="A148" s="4" t="s">
        <v>145</v>
      </c>
      <c r="B148" s="4" t="s">
        <v>323</v>
      </c>
      <c r="C148" s="4">
        <v>45</v>
      </c>
      <c r="D148" s="4">
        <v>53</v>
      </c>
      <c r="E148" s="4">
        <v>100</v>
      </c>
      <c r="F148" s="4">
        <v>63</v>
      </c>
      <c r="G148" s="4">
        <v>81</v>
      </c>
      <c r="H148" s="4" t="s">
        <v>370</v>
      </c>
      <c r="I148" s="4">
        <f t="shared" si="6"/>
        <v>342</v>
      </c>
      <c r="J148" s="4">
        <f t="shared" si="7"/>
        <v>68.400000000000006</v>
      </c>
      <c r="K148" s="4" t="str">
        <f t="shared" si="8"/>
        <v>B</v>
      </c>
    </row>
    <row r="149" spans="1:11" x14ac:dyDescent="0.3">
      <c r="A149" s="4" t="s">
        <v>146</v>
      </c>
      <c r="B149" s="4" t="s">
        <v>324</v>
      </c>
      <c r="C149" s="4">
        <v>60</v>
      </c>
      <c r="D149" s="4">
        <v>64</v>
      </c>
      <c r="E149" s="4">
        <v>83</v>
      </c>
      <c r="F149" s="4">
        <v>93</v>
      </c>
      <c r="G149" s="4">
        <v>77</v>
      </c>
      <c r="H149" s="4" t="s">
        <v>370</v>
      </c>
      <c r="I149" s="4">
        <f t="shared" si="6"/>
        <v>377</v>
      </c>
      <c r="J149" s="4">
        <f t="shared" si="7"/>
        <v>75.400000000000006</v>
      </c>
      <c r="K149" s="4" t="str">
        <f t="shared" si="8"/>
        <v>A</v>
      </c>
    </row>
    <row r="150" spans="1:11" x14ac:dyDescent="0.3">
      <c r="A150" s="4" t="s">
        <v>147</v>
      </c>
      <c r="B150" s="4" t="s">
        <v>325</v>
      </c>
      <c r="C150" s="4">
        <v>48</v>
      </c>
      <c r="D150" s="4">
        <v>64</v>
      </c>
      <c r="E150" s="4">
        <v>93</v>
      </c>
      <c r="F150" s="4">
        <v>70</v>
      </c>
      <c r="G150" s="4">
        <v>70</v>
      </c>
      <c r="H150" s="4" t="s">
        <v>370</v>
      </c>
      <c r="I150" s="4">
        <f t="shared" si="6"/>
        <v>345</v>
      </c>
      <c r="J150" s="4">
        <f t="shared" si="7"/>
        <v>69</v>
      </c>
      <c r="K150" s="4" t="str">
        <f t="shared" si="8"/>
        <v>B</v>
      </c>
    </row>
    <row r="151" spans="1:11" x14ac:dyDescent="0.3">
      <c r="A151" s="4" t="s">
        <v>148</v>
      </c>
      <c r="B151" s="4" t="s">
        <v>326</v>
      </c>
      <c r="C151" s="4">
        <v>66</v>
      </c>
      <c r="D151" s="4">
        <v>40</v>
      </c>
      <c r="E151" s="4">
        <v>62</v>
      </c>
      <c r="F151" s="4">
        <v>55</v>
      </c>
      <c r="G151" s="4">
        <v>60</v>
      </c>
      <c r="H151" s="4" t="s">
        <v>370</v>
      </c>
      <c r="I151" s="4">
        <f t="shared" si="6"/>
        <v>283</v>
      </c>
      <c r="J151" s="4">
        <f t="shared" si="7"/>
        <v>56.6</v>
      </c>
      <c r="K151" s="4" t="str">
        <f t="shared" si="8"/>
        <v>C</v>
      </c>
    </row>
    <row r="152" spans="1:11" x14ac:dyDescent="0.3">
      <c r="A152" s="4" t="s">
        <v>149</v>
      </c>
      <c r="B152" s="4" t="s">
        <v>327</v>
      </c>
      <c r="C152" s="4">
        <v>34</v>
      </c>
      <c r="D152" s="4">
        <v>45</v>
      </c>
      <c r="E152" s="4">
        <v>45</v>
      </c>
      <c r="F152" s="4">
        <v>34</v>
      </c>
      <c r="G152" s="4">
        <v>62</v>
      </c>
      <c r="H152" s="4" t="s">
        <v>370</v>
      </c>
      <c r="I152" s="4">
        <f t="shared" si="6"/>
        <v>220</v>
      </c>
      <c r="J152" s="4">
        <f t="shared" si="7"/>
        <v>44</v>
      </c>
      <c r="K152" s="4" t="str">
        <f t="shared" si="8"/>
        <v>Fail</v>
      </c>
    </row>
    <row r="153" spans="1:11" x14ac:dyDescent="0.3">
      <c r="A153" s="4" t="s">
        <v>150</v>
      </c>
      <c r="B153" s="4" t="s">
        <v>328</v>
      </c>
      <c r="C153" s="4">
        <v>95</v>
      </c>
      <c r="D153" s="4">
        <v>98</v>
      </c>
      <c r="E153" s="4">
        <v>64</v>
      </c>
      <c r="F153" s="4">
        <v>67</v>
      </c>
      <c r="G153" s="4">
        <v>99</v>
      </c>
      <c r="H153" s="4" t="s">
        <v>370</v>
      </c>
      <c r="I153" s="4">
        <f t="shared" si="6"/>
        <v>423</v>
      </c>
      <c r="J153" s="4">
        <f t="shared" si="7"/>
        <v>84.6</v>
      </c>
      <c r="K153" s="4" t="str">
        <f t="shared" si="8"/>
        <v>A</v>
      </c>
    </row>
    <row r="154" spans="1:11" x14ac:dyDescent="0.3">
      <c r="A154" s="4" t="s">
        <v>151</v>
      </c>
      <c r="B154" s="4" t="s">
        <v>329</v>
      </c>
      <c r="C154" s="4">
        <v>80</v>
      </c>
      <c r="D154" s="4">
        <v>42</v>
      </c>
      <c r="E154" s="4">
        <v>82</v>
      </c>
      <c r="F154" s="4">
        <v>80</v>
      </c>
      <c r="G154" s="4">
        <v>32</v>
      </c>
      <c r="H154" s="4" t="s">
        <v>370</v>
      </c>
      <c r="I154" s="4">
        <f t="shared" si="6"/>
        <v>316</v>
      </c>
      <c r="J154" s="4">
        <f t="shared" si="7"/>
        <v>63.2</v>
      </c>
      <c r="K154" s="4" t="str">
        <f t="shared" si="8"/>
        <v>B</v>
      </c>
    </row>
    <row r="155" spans="1:11" x14ac:dyDescent="0.3">
      <c r="A155" s="4" t="s">
        <v>152</v>
      </c>
      <c r="B155" s="4" t="s">
        <v>262</v>
      </c>
      <c r="C155" s="4">
        <v>46</v>
      </c>
      <c r="D155" s="4">
        <v>79</v>
      </c>
      <c r="E155" s="4">
        <v>84</v>
      </c>
      <c r="F155" s="4">
        <v>93</v>
      </c>
      <c r="G155" s="4">
        <v>82</v>
      </c>
      <c r="H155" s="4" t="s">
        <v>370</v>
      </c>
      <c r="I155" s="4">
        <f t="shared" si="6"/>
        <v>384</v>
      </c>
      <c r="J155" s="4">
        <f t="shared" si="7"/>
        <v>76.8</v>
      </c>
      <c r="K155" s="4" t="str">
        <f t="shared" si="8"/>
        <v>A</v>
      </c>
    </row>
    <row r="156" spans="1:11" x14ac:dyDescent="0.3">
      <c r="A156" s="4" t="s">
        <v>153</v>
      </c>
      <c r="B156" s="4" t="s">
        <v>330</v>
      </c>
      <c r="C156" s="4">
        <v>82</v>
      </c>
      <c r="D156" s="4">
        <v>76</v>
      </c>
      <c r="E156" s="4">
        <v>75</v>
      </c>
      <c r="F156" s="4">
        <v>72</v>
      </c>
      <c r="G156" s="4">
        <v>71</v>
      </c>
      <c r="H156" s="4" t="s">
        <v>370</v>
      </c>
      <c r="I156" s="4">
        <f t="shared" si="6"/>
        <v>376</v>
      </c>
      <c r="J156" s="4">
        <f t="shared" si="7"/>
        <v>75.2</v>
      </c>
      <c r="K156" s="4" t="str">
        <f t="shared" si="8"/>
        <v>A</v>
      </c>
    </row>
    <row r="157" spans="1:11" x14ac:dyDescent="0.3">
      <c r="A157" s="4" t="s">
        <v>154</v>
      </c>
      <c r="B157" s="4" t="s">
        <v>224</v>
      </c>
      <c r="C157" s="4">
        <v>37</v>
      </c>
      <c r="D157" s="4">
        <v>37</v>
      </c>
      <c r="E157" s="4">
        <v>83</v>
      </c>
      <c r="F157" s="4">
        <v>59</v>
      </c>
      <c r="G157" s="4">
        <v>100</v>
      </c>
      <c r="H157" s="4" t="s">
        <v>370</v>
      </c>
      <c r="I157" s="4">
        <f t="shared" si="6"/>
        <v>316</v>
      </c>
      <c r="J157" s="4">
        <f t="shared" si="7"/>
        <v>63.2</v>
      </c>
      <c r="K157" s="4" t="str">
        <f t="shared" si="8"/>
        <v>B</v>
      </c>
    </row>
    <row r="158" spans="1:11" x14ac:dyDescent="0.3">
      <c r="A158" s="4" t="s">
        <v>155</v>
      </c>
      <c r="B158" s="4" t="s">
        <v>248</v>
      </c>
      <c r="C158" s="4">
        <v>46</v>
      </c>
      <c r="D158" s="4">
        <v>57</v>
      </c>
      <c r="E158" s="4">
        <v>82</v>
      </c>
      <c r="F158" s="4">
        <v>88</v>
      </c>
      <c r="G158" s="4">
        <v>76</v>
      </c>
      <c r="H158" s="4" t="s">
        <v>370</v>
      </c>
      <c r="I158" s="4">
        <f t="shared" si="6"/>
        <v>349</v>
      </c>
      <c r="J158" s="4">
        <f t="shared" si="7"/>
        <v>69.8</v>
      </c>
      <c r="K158" s="4" t="str">
        <f t="shared" si="8"/>
        <v>B</v>
      </c>
    </row>
    <row r="159" spans="1:11" x14ac:dyDescent="0.3">
      <c r="A159" s="4" t="s">
        <v>156</v>
      </c>
      <c r="B159" s="4" t="s">
        <v>331</v>
      </c>
      <c r="C159" s="4">
        <v>78</v>
      </c>
      <c r="D159" s="4">
        <v>68</v>
      </c>
      <c r="E159" s="4">
        <v>44</v>
      </c>
      <c r="F159" s="4">
        <v>83</v>
      </c>
      <c r="G159" s="4">
        <v>38</v>
      </c>
      <c r="H159" s="4" t="s">
        <v>370</v>
      </c>
      <c r="I159" s="4">
        <f t="shared" si="6"/>
        <v>311</v>
      </c>
      <c r="J159" s="4">
        <f t="shared" si="7"/>
        <v>62.2</v>
      </c>
      <c r="K159" s="4" t="str">
        <f t="shared" si="8"/>
        <v>B</v>
      </c>
    </row>
    <row r="160" spans="1:11" x14ac:dyDescent="0.3">
      <c r="A160" s="4" t="s">
        <v>157</v>
      </c>
      <c r="B160" s="4" t="s">
        <v>332</v>
      </c>
      <c r="C160" s="4">
        <v>52</v>
      </c>
      <c r="D160" s="4">
        <v>69</v>
      </c>
      <c r="E160" s="4">
        <v>50</v>
      </c>
      <c r="F160" s="4">
        <v>70</v>
      </c>
      <c r="G160" s="4">
        <v>71</v>
      </c>
      <c r="H160" s="4" t="s">
        <v>370</v>
      </c>
      <c r="I160" s="4">
        <f t="shared" si="6"/>
        <v>312</v>
      </c>
      <c r="J160" s="4">
        <f t="shared" si="7"/>
        <v>62.4</v>
      </c>
      <c r="K160" s="4" t="str">
        <f t="shared" si="8"/>
        <v>B</v>
      </c>
    </row>
    <row r="161" spans="1:11" x14ac:dyDescent="0.3">
      <c r="A161" s="4" t="s">
        <v>158</v>
      </c>
      <c r="B161" s="4" t="s">
        <v>333</v>
      </c>
      <c r="C161" s="4">
        <v>34</v>
      </c>
      <c r="D161" s="4">
        <v>61</v>
      </c>
      <c r="E161" s="4">
        <v>95</v>
      </c>
      <c r="F161" s="4">
        <v>72</v>
      </c>
      <c r="G161" s="4">
        <v>49</v>
      </c>
      <c r="H161" s="4" t="s">
        <v>370</v>
      </c>
      <c r="I161" s="4">
        <f t="shared" si="6"/>
        <v>311</v>
      </c>
      <c r="J161" s="4">
        <f t="shared" si="7"/>
        <v>62.2</v>
      </c>
      <c r="K161" s="4" t="str">
        <f t="shared" si="8"/>
        <v>B</v>
      </c>
    </row>
    <row r="162" spans="1:11" x14ac:dyDescent="0.3">
      <c r="A162" s="4" t="s">
        <v>159</v>
      </c>
      <c r="B162" s="4" t="s">
        <v>334</v>
      </c>
      <c r="C162" s="4">
        <v>41</v>
      </c>
      <c r="D162" s="4">
        <v>92</v>
      </c>
      <c r="E162" s="4">
        <v>38</v>
      </c>
      <c r="F162" s="4">
        <v>72</v>
      </c>
      <c r="G162" s="4">
        <v>97</v>
      </c>
      <c r="H162" s="4" t="s">
        <v>370</v>
      </c>
      <c r="I162" s="4">
        <f t="shared" si="6"/>
        <v>340</v>
      </c>
      <c r="J162" s="4">
        <f t="shared" si="7"/>
        <v>68</v>
      </c>
      <c r="K162" s="4" t="str">
        <f t="shared" si="8"/>
        <v>B</v>
      </c>
    </row>
    <row r="163" spans="1:11" x14ac:dyDescent="0.3">
      <c r="A163" s="4" t="s">
        <v>160</v>
      </c>
      <c r="B163" s="4" t="s">
        <v>242</v>
      </c>
      <c r="C163" s="4">
        <v>56</v>
      </c>
      <c r="D163" s="4">
        <v>100</v>
      </c>
      <c r="E163" s="4">
        <v>86</v>
      </c>
      <c r="F163" s="4">
        <v>36</v>
      </c>
      <c r="G163" s="4">
        <v>80</v>
      </c>
      <c r="H163" s="4" t="s">
        <v>370</v>
      </c>
      <c r="I163" s="4">
        <f t="shared" si="6"/>
        <v>358</v>
      </c>
      <c r="J163" s="4">
        <f t="shared" si="7"/>
        <v>71.599999999999994</v>
      </c>
      <c r="K163" s="4" t="str">
        <f t="shared" si="8"/>
        <v>B</v>
      </c>
    </row>
    <row r="164" spans="1:11" x14ac:dyDescent="0.3">
      <c r="A164" s="4" t="s">
        <v>161</v>
      </c>
      <c r="B164" s="4" t="s">
        <v>335</v>
      </c>
      <c r="C164" s="4">
        <v>92</v>
      </c>
      <c r="D164" s="4">
        <v>71</v>
      </c>
      <c r="E164" s="4">
        <v>79</v>
      </c>
      <c r="F164" s="4">
        <v>34</v>
      </c>
      <c r="G164" s="4">
        <v>71</v>
      </c>
      <c r="H164" s="4" t="s">
        <v>370</v>
      </c>
      <c r="I164" s="4">
        <f t="shared" si="6"/>
        <v>347</v>
      </c>
      <c r="J164" s="4">
        <f t="shared" si="7"/>
        <v>69.400000000000006</v>
      </c>
      <c r="K164" s="4" t="str">
        <f t="shared" si="8"/>
        <v>B</v>
      </c>
    </row>
    <row r="165" spans="1:11" x14ac:dyDescent="0.3">
      <c r="A165" s="4" t="s">
        <v>162</v>
      </c>
      <c r="B165" s="4" t="s">
        <v>336</v>
      </c>
      <c r="C165" s="4">
        <v>34</v>
      </c>
      <c r="D165" s="4">
        <v>70</v>
      </c>
      <c r="E165" s="4">
        <v>42</v>
      </c>
      <c r="F165" s="4">
        <v>34</v>
      </c>
      <c r="G165" s="4">
        <v>53</v>
      </c>
      <c r="H165" s="4" t="s">
        <v>370</v>
      </c>
      <c r="I165" s="4">
        <f t="shared" si="6"/>
        <v>233</v>
      </c>
      <c r="J165" s="4">
        <f t="shared" si="7"/>
        <v>46.6</v>
      </c>
      <c r="K165" s="4" t="str">
        <f t="shared" si="8"/>
        <v>C</v>
      </c>
    </row>
    <row r="166" spans="1:11" x14ac:dyDescent="0.3">
      <c r="A166" s="4" t="s">
        <v>163</v>
      </c>
      <c r="B166" s="4" t="s">
        <v>337</v>
      </c>
      <c r="C166" s="4">
        <v>51</v>
      </c>
      <c r="D166" s="4">
        <v>66</v>
      </c>
      <c r="E166" s="4">
        <v>91</v>
      </c>
      <c r="F166" s="4">
        <v>72</v>
      </c>
      <c r="G166" s="4">
        <v>30</v>
      </c>
      <c r="H166" s="4" t="s">
        <v>370</v>
      </c>
      <c r="I166" s="4">
        <f t="shared" si="6"/>
        <v>310</v>
      </c>
      <c r="J166" s="4">
        <f t="shared" si="7"/>
        <v>62</v>
      </c>
      <c r="K166" s="4" t="str">
        <f t="shared" si="8"/>
        <v>B</v>
      </c>
    </row>
    <row r="167" spans="1:11" x14ac:dyDescent="0.3">
      <c r="A167" s="4" t="s">
        <v>164</v>
      </c>
      <c r="B167" s="4" t="s">
        <v>338</v>
      </c>
      <c r="C167" s="4">
        <v>43</v>
      </c>
      <c r="D167" s="4">
        <v>68</v>
      </c>
      <c r="E167" s="4">
        <v>30</v>
      </c>
      <c r="F167" s="4">
        <v>96</v>
      </c>
      <c r="G167" s="4">
        <v>30</v>
      </c>
      <c r="H167" s="4" t="s">
        <v>370</v>
      </c>
      <c r="I167" s="4">
        <f t="shared" si="6"/>
        <v>267</v>
      </c>
      <c r="J167" s="4">
        <f t="shared" si="7"/>
        <v>53.4</v>
      </c>
      <c r="K167" s="4" t="str">
        <f t="shared" si="8"/>
        <v>C</v>
      </c>
    </row>
    <row r="168" spans="1:11" x14ac:dyDescent="0.3">
      <c r="A168" s="4" t="s">
        <v>165</v>
      </c>
      <c r="B168" s="4" t="s">
        <v>240</v>
      </c>
      <c r="C168" s="4">
        <v>74</v>
      </c>
      <c r="D168" s="4">
        <v>64</v>
      </c>
      <c r="E168" s="4">
        <v>81</v>
      </c>
      <c r="F168" s="4">
        <v>68</v>
      </c>
      <c r="G168" s="4">
        <v>31</v>
      </c>
      <c r="H168" s="4" t="s">
        <v>370</v>
      </c>
      <c r="I168" s="4">
        <f t="shared" si="6"/>
        <v>318</v>
      </c>
      <c r="J168" s="4">
        <f t="shared" si="7"/>
        <v>63.6</v>
      </c>
      <c r="K168" s="4" t="str">
        <f t="shared" si="8"/>
        <v>B</v>
      </c>
    </row>
    <row r="169" spans="1:11" x14ac:dyDescent="0.3">
      <c r="A169" s="4" t="s">
        <v>166</v>
      </c>
      <c r="B169" s="4" t="s">
        <v>339</v>
      </c>
      <c r="C169" s="4">
        <v>66</v>
      </c>
      <c r="D169" s="4">
        <v>32</v>
      </c>
      <c r="E169" s="4">
        <v>53</v>
      </c>
      <c r="F169" s="4">
        <v>30</v>
      </c>
      <c r="G169" s="4">
        <v>72</v>
      </c>
      <c r="H169" s="4" t="s">
        <v>370</v>
      </c>
      <c r="I169" s="4">
        <f t="shared" si="6"/>
        <v>253</v>
      </c>
      <c r="J169" s="4">
        <f t="shared" si="7"/>
        <v>50.6</v>
      </c>
      <c r="K169" s="4" t="str">
        <f t="shared" si="8"/>
        <v>C</v>
      </c>
    </row>
    <row r="170" spans="1:11" x14ac:dyDescent="0.3">
      <c r="A170" s="4" t="s">
        <v>167</v>
      </c>
      <c r="B170" s="4" t="s">
        <v>340</v>
      </c>
      <c r="C170" s="4">
        <v>36</v>
      </c>
      <c r="D170" s="4">
        <v>88</v>
      </c>
      <c r="E170" s="4">
        <v>36</v>
      </c>
      <c r="F170" s="4">
        <v>83</v>
      </c>
      <c r="G170" s="4">
        <v>52</v>
      </c>
      <c r="H170" s="4" t="s">
        <v>370</v>
      </c>
      <c r="I170" s="4">
        <f t="shared" si="6"/>
        <v>295</v>
      </c>
      <c r="J170" s="4">
        <f t="shared" si="7"/>
        <v>59</v>
      </c>
      <c r="K170" s="4" t="str">
        <f t="shared" si="8"/>
        <v>C</v>
      </c>
    </row>
    <row r="171" spans="1:11" x14ac:dyDescent="0.3">
      <c r="A171" s="4" t="s">
        <v>168</v>
      </c>
      <c r="B171" s="4" t="s">
        <v>341</v>
      </c>
      <c r="C171" s="4">
        <v>37</v>
      </c>
      <c r="D171" s="4">
        <v>70</v>
      </c>
      <c r="E171" s="4">
        <v>74</v>
      </c>
      <c r="F171" s="4">
        <v>82</v>
      </c>
      <c r="G171" s="4">
        <v>96</v>
      </c>
      <c r="H171" s="4" t="s">
        <v>370</v>
      </c>
      <c r="I171" s="4">
        <f t="shared" si="6"/>
        <v>359</v>
      </c>
      <c r="J171" s="4">
        <f t="shared" si="7"/>
        <v>71.8</v>
      </c>
      <c r="K171" s="4" t="str">
        <f t="shared" si="8"/>
        <v>B</v>
      </c>
    </row>
    <row r="172" spans="1:11" x14ac:dyDescent="0.3">
      <c r="A172" s="4" t="s">
        <v>169</v>
      </c>
      <c r="B172" s="4" t="s">
        <v>334</v>
      </c>
      <c r="C172" s="4">
        <v>90</v>
      </c>
      <c r="D172" s="4">
        <v>68</v>
      </c>
      <c r="E172" s="4">
        <v>46</v>
      </c>
      <c r="F172" s="4">
        <v>45</v>
      </c>
      <c r="G172" s="4">
        <v>44</v>
      </c>
      <c r="H172" s="4" t="s">
        <v>370</v>
      </c>
      <c r="I172" s="4">
        <f t="shared" si="6"/>
        <v>293</v>
      </c>
      <c r="J172" s="4">
        <f t="shared" si="7"/>
        <v>58.6</v>
      </c>
      <c r="K172" s="4" t="str">
        <f t="shared" si="8"/>
        <v>C</v>
      </c>
    </row>
    <row r="173" spans="1:11" x14ac:dyDescent="0.3">
      <c r="A173" s="4" t="s">
        <v>170</v>
      </c>
      <c r="B173" s="4" t="s">
        <v>342</v>
      </c>
      <c r="C173" s="4">
        <v>49</v>
      </c>
      <c r="D173" s="4">
        <v>60</v>
      </c>
      <c r="E173" s="4">
        <v>70</v>
      </c>
      <c r="F173" s="4">
        <v>30</v>
      </c>
      <c r="G173" s="4">
        <v>94</v>
      </c>
      <c r="H173" s="4" t="s">
        <v>370</v>
      </c>
      <c r="I173" s="4">
        <f t="shared" si="6"/>
        <v>303</v>
      </c>
      <c r="J173" s="4">
        <f t="shared" si="7"/>
        <v>60.6</v>
      </c>
      <c r="K173" s="4" t="str">
        <f t="shared" si="8"/>
        <v>B</v>
      </c>
    </row>
    <row r="174" spans="1:11" x14ac:dyDescent="0.3">
      <c r="A174" s="4" t="s">
        <v>171</v>
      </c>
      <c r="B174" s="4" t="s">
        <v>343</v>
      </c>
      <c r="C174" s="4">
        <v>67</v>
      </c>
      <c r="D174" s="4">
        <v>74</v>
      </c>
      <c r="E174" s="4">
        <v>36</v>
      </c>
      <c r="F174" s="4">
        <v>95</v>
      </c>
      <c r="G174" s="4">
        <v>83</v>
      </c>
      <c r="H174" s="4" t="s">
        <v>370</v>
      </c>
      <c r="I174" s="4">
        <f t="shared" si="6"/>
        <v>355</v>
      </c>
      <c r="J174" s="4">
        <f t="shared" si="7"/>
        <v>71</v>
      </c>
      <c r="K174" s="4" t="str">
        <f t="shared" si="8"/>
        <v>B</v>
      </c>
    </row>
    <row r="175" spans="1:11" x14ac:dyDescent="0.3">
      <c r="A175" s="4" t="s">
        <v>172</v>
      </c>
      <c r="B175" s="4" t="s">
        <v>316</v>
      </c>
      <c r="C175" s="4">
        <v>86</v>
      </c>
      <c r="D175" s="4">
        <v>60</v>
      </c>
      <c r="E175" s="4">
        <v>39</v>
      </c>
      <c r="F175" s="4">
        <v>94</v>
      </c>
      <c r="G175" s="4">
        <v>42</v>
      </c>
      <c r="H175" s="4" t="s">
        <v>370</v>
      </c>
      <c r="I175" s="4">
        <f t="shared" si="6"/>
        <v>321</v>
      </c>
      <c r="J175" s="4">
        <f t="shared" si="7"/>
        <v>64.2</v>
      </c>
      <c r="K175" s="4" t="str">
        <f t="shared" si="8"/>
        <v>B</v>
      </c>
    </row>
    <row r="176" spans="1:11" x14ac:dyDescent="0.3">
      <c r="A176" s="4" t="s">
        <v>173</v>
      </c>
      <c r="B176" s="4" t="s">
        <v>296</v>
      </c>
      <c r="C176" s="4">
        <v>65</v>
      </c>
      <c r="D176" s="4">
        <v>64</v>
      </c>
      <c r="E176" s="4">
        <v>70</v>
      </c>
      <c r="F176" s="4">
        <v>75</v>
      </c>
      <c r="G176" s="4">
        <v>46</v>
      </c>
      <c r="H176" s="4" t="s">
        <v>370</v>
      </c>
      <c r="I176" s="4">
        <f t="shared" si="6"/>
        <v>320</v>
      </c>
      <c r="J176" s="4">
        <f t="shared" si="7"/>
        <v>64</v>
      </c>
      <c r="K176" s="4" t="str">
        <f t="shared" si="8"/>
        <v>B</v>
      </c>
    </row>
    <row r="177" spans="1:11" x14ac:dyDescent="0.3">
      <c r="A177" s="4" t="s">
        <v>174</v>
      </c>
      <c r="B177" s="4" t="s">
        <v>252</v>
      </c>
      <c r="C177" s="4">
        <v>81</v>
      </c>
      <c r="D177" s="4">
        <v>40</v>
      </c>
      <c r="E177" s="4">
        <v>79</v>
      </c>
      <c r="F177" s="4">
        <v>85</v>
      </c>
      <c r="G177" s="4">
        <v>85</v>
      </c>
      <c r="H177" s="4" t="s">
        <v>370</v>
      </c>
      <c r="I177" s="4">
        <f t="shared" si="6"/>
        <v>370</v>
      </c>
      <c r="J177" s="4">
        <f t="shared" si="7"/>
        <v>74</v>
      </c>
      <c r="K177" s="4" t="str">
        <f t="shared" si="8"/>
        <v>B</v>
      </c>
    </row>
    <row r="178" spans="1:11" x14ac:dyDescent="0.3">
      <c r="A178" s="4" t="s">
        <v>175</v>
      </c>
      <c r="B178" s="4" t="s">
        <v>344</v>
      </c>
      <c r="C178" s="4">
        <v>75</v>
      </c>
      <c r="D178" s="4">
        <v>87</v>
      </c>
      <c r="E178" s="4">
        <v>94</v>
      </c>
      <c r="F178" s="4">
        <v>60</v>
      </c>
      <c r="G178" s="4">
        <v>30</v>
      </c>
      <c r="H178" s="4" t="s">
        <v>370</v>
      </c>
      <c r="I178" s="4">
        <f t="shared" si="6"/>
        <v>346</v>
      </c>
      <c r="J178" s="4">
        <f t="shared" si="7"/>
        <v>69.2</v>
      </c>
      <c r="K178" s="4" t="str">
        <f t="shared" si="8"/>
        <v>B</v>
      </c>
    </row>
    <row r="179" spans="1:11" x14ac:dyDescent="0.3">
      <c r="A179" s="4" t="s">
        <v>176</v>
      </c>
      <c r="B179" s="4" t="s">
        <v>345</v>
      </c>
      <c r="C179" s="4">
        <v>68</v>
      </c>
      <c r="D179" s="4">
        <v>85</v>
      </c>
      <c r="E179" s="4">
        <v>34</v>
      </c>
      <c r="F179" s="4">
        <v>80</v>
      </c>
      <c r="G179" s="4">
        <v>53</v>
      </c>
      <c r="H179" s="4" t="s">
        <v>370</v>
      </c>
      <c r="I179" s="4">
        <f t="shared" si="6"/>
        <v>320</v>
      </c>
      <c r="J179" s="4">
        <f t="shared" si="7"/>
        <v>64</v>
      </c>
      <c r="K179" s="4" t="str">
        <f t="shared" si="8"/>
        <v>B</v>
      </c>
    </row>
    <row r="180" spans="1:11" x14ac:dyDescent="0.3">
      <c r="A180" s="4" t="s">
        <v>177</v>
      </c>
      <c r="B180" s="4" t="s">
        <v>230</v>
      </c>
      <c r="C180" s="4">
        <v>79</v>
      </c>
      <c r="D180" s="4">
        <v>59</v>
      </c>
      <c r="E180" s="4">
        <v>45</v>
      </c>
      <c r="F180" s="4">
        <v>60</v>
      </c>
      <c r="G180" s="4">
        <v>58</v>
      </c>
      <c r="H180" s="4" t="s">
        <v>370</v>
      </c>
      <c r="I180" s="4">
        <f t="shared" si="6"/>
        <v>301</v>
      </c>
      <c r="J180" s="4">
        <f t="shared" si="7"/>
        <v>60.2</v>
      </c>
      <c r="K180" s="4" t="str">
        <f t="shared" si="8"/>
        <v>B</v>
      </c>
    </row>
    <row r="181" spans="1:11" x14ac:dyDescent="0.3">
      <c r="A181" s="4" t="s">
        <v>178</v>
      </c>
      <c r="B181" s="4" t="s">
        <v>346</v>
      </c>
      <c r="C181" s="4">
        <v>68</v>
      </c>
      <c r="D181" s="4">
        <v>33</v>
      </c>
      <c r="E181" s="4">
        <v>50</v>
      </c>
      <c r="F181" s="4">
        <v>90</v>
      </c>
      <c r="G181" s="4">
        <v>30</v>
      </c>
      <c r="H181" s="4" t="s">
        <v>370</v>
      </c>
      <c r="I181" s="4">
        <f t="shared" si="6"/>
        <v>271</v>
      </c>
      <c r="J181" s="4">
        <f t="shared" si="7"/>
        <v>54.2</v>
      </c>
      <c r="K181" s="4" t="str">
        <f t="shared" si="8"/>
        <v>C</v>
      </c>
    </row>
    <row r="182" spans="1:11" x14ac:dyDescent="0.3">
      <c r="A182" s="4" t="s">
        <v>179</v>
      </c>
      <c r="B182" s="4" t="s">
        <v>347</v>
      </c>
      <c r="C182" s="4">
        <v>90</v>
      </c>
      <c r="D182" s="4">
        <v>53</v>
      </c>
      <c r="E182" s="4">
        <v>40</v>
      </c>
      <c r="F182" s="4">
        <v>100</v>
      </c>
      <c r="G182" s="4">
        <v>91</v>
      </c>
      <c r="H182" s="4" t="s">
        <v>370</v>
      </c>
      <c r="I182" s="4">
        <f t="shared" si="6"/>
        <v>374</v>
      </c>
      <c r="J182" s="4">
        <f t="shared" si="7"/>
        <v>74.8</v>
      </c>
      <c r="K182" s="4" t="str">
        <f t="shared" si="8"/>
        <v>B</v>
      </c>
    </row>
    <row r="183" spans="1:11" x14ac:dyDescent="0.3">
      <c r="A183" s="4" t="s">
        <v>180</v>
      </c>
      <c r="B183" s="4" t="s">
        <v>348</v>
      </c>
      <c r="C183" s="4">
        <v>83</v>
      </c>
      <c r="D183" s="4">
        <v>94</v>
      </c>
      <c r="E183" s="4">
        <v>69</v>
      </c>
      <c r="F183" s="4">
        <v>40</v>
      </c>
      <c r="G183" s="4">
        <v>37</v>
      </c>
      <c r="H183" s="4" t="s">
        <v>370</v>
      </c>
      <c r="I183" s="4">
        <f t="shared" si="6"/>
        <v>323</v>
      </c>
      <c r="J183" s="4">
        <f t="shared" si="7"/>
        <v>64.599999999999994</v>
      </c>
      <c r="K183" s="4" t="str">
        <f t="shared" si="8"/>
        <v>B</v>
      </c>
    </row>
    <row r="184" spans="1:11" x14ac:dyDescent="0.3">
      <c r="A184" s="4" t="s">
        <v>181</v>
      </c>
      <c r="B184" s="4" t="s">
        <v>349</v>
      </c>
      <c r="C184" s="4">
        <v>70</v>
      </c>
      <c r="D184" s="4">
        <v>73</v>
      </c>
      <c r="E184" s="4">
        <v>99</v>
      </c>
      <c r="F184" s="4">
        <v>46</v>
      </c>
      <c r="G184" s="4">
        <v>65</v>
      </c>
      <c r="H184" s="4" t="s">
        <v>370</v>
      </c>
      <c r="I184" s="4">
        <f t="shared" si="6"/>
        <v>353</v>
      </c>
      <c r="J184" s="4">
        <f t="shared" si="7"/>
        <v>70.599999999999994</v>
      </c>
      <c r="K184" s="4" t="str">
        <f t="shared" si="8"/>
        <v>B</v>
      </c>
    </row>
    <row r="185" spans="1:11" x14ac:dyDescent="0.3">
      <c r="A185" s="4" t="s">
        <v>182</v>
      </c>
      <c r="B185" s="4" t="s">
        <v>350</v>
      </c>
      <c r="C185" s="4">
        <v>86</v>
      </c>
      <c r="D185" s="4">
        <v>96</v>
      </c>
      <c r="E185" s="4">
        <v>100</v>
      </c>
      <c r="F185" s="4">
        <v>46</v>
      </c>
      <c r="G185" s="4">
        <v>96</v>
      </c>
      <c r="H185" s="4" t="s">
        <v>370</v>
      </c>
      <c r="I185" s="4">
        <f t="shared" si="6"/>
        <v>424</v>
      </c>
      <c r="J185" s="4">
        <f t="shared" si="7"/>
        <v>84.8</v>
      </c>
      <c r="K185" s="4" t="str">
        <f t="shared" si="8"/>
        <v>A</v>
      </c>
    </row>
    <row r="186" spans="1:11" x14ac:dyDescent="0.3">
      <c r="A186" s="4" t="s">
        <v>183</v>
      </c>
      <c r="B186" s="4" t="s">
        <v>351</v>
      </c>
      <c r="C186" s="4">
        <v>87</v>
      </c>
      <c r="D186" s="4">
        <v>58</v>
      </c>
      <c r="E186" s="4">
        <v>55</v>
      </c>
      <c r="F186" s="4">
        <v>37</v>
      </c>
      <c r="G186" s="4">
        <v>65</v>
      </c>
      <c r="H186" s="4" t="s">
        <v>370</v>
      </c>
      <c r="I186" s="4">
        <f t="shared" si="6"/>
        <v>302</v>
      </c>
      <c r="J186" s="4">
        <f t="shared" si="7"/>
        <v>60.4</v>
      </c>
      <c r="K186" s="4" t="str">
        <f t="shared" si="8"/>
        <v>B</v>
      </c>
    </row>
    <row r="187" spans="1:11" x14ac:dyDescent="0.3">
      <c r="A187" s="4" t="s">
        <v>184</v>
      </c>
      <c r="B187" s="4" t="s">
        <v>206</v>
      </c>
      <c r="C187" s="4">
        <v>68</v>
      </c>
      <c r="D187" s="4">
        <v>63</v>
      </c>
      <c r="E187" s="4">
        <v>78</v>
      </c>
      <c r="F187" s="4">
        <v>95</v>
      </c>
      <c r="G187" s="4">
        <v>55</v>
      </c>
      <c r="H187" s="4" t="s">
        <v>370</v>
      </c>
      <c r="I187" s="4">
        <f t="shared" si="6"/>
        <v>359</v>
      </c>
      <c r="J187" s="4">
        <f t="shared" si="7"/>
        <v>71.8</v>
      </c>
      <c r="K187" s="4" t="str">
        <f t="shared" si="8"/>
        <v>B</v>
      </c>
    </row>
    <row r="188" spans="1:11" x14ac:dyDescent="0.3">
      <c r="A188" s="4" t="s">
        <v>185</v>
      </c>
      <c r="B188" s="4" t="s">
        <v>335</v>
      </c>
      <c r="C188" s="4">
        <v>69</v>
      </c>
      <c r="D188" s="4">
        <v>66</v>
      </c>
      <c r="E188" s="4">
        <v>69</v>
      </c>
      <c r="F188" s="4">
        <v>37</v>
      </c>
      <c r="G188" s="4">
        <v>64</v>
      </c>
      <c r="H188" s="4" t="s">
        <v>370</v>
      </c>
      <c r="I188" s="4">
        <f t="shared" si="6"/>
        <v>305</v>
      </c>
      <c r="J188" s="4">
        <f t="shared" si="7"/>
        <v>61</v>
      </c>
      <c r="K188" s="4" t="str">
        <f t="shared" si="8"/>
        <v>B</v>
      </c>
    </row>
    <row r="189" spans="1:11" x14ac:dyDescent="0.3">
      <c r="A189" s="4" t="s">
        <v>186</v>
      </c>
      <c r="B189" s="4" t="s">
        <v>352</v>
      </c>
      <c r="C189" s="4">
        <v>47</v>
      </c>
      <c r="D189" s="4">
        <v>47</v>
      </c>
      <c r="E189" s="4">
        <v>67</v>
      </c>
      <c r="F189" s="4">
        <v>51</v>
      </c>
      <c r="G189" s="4">
        <v>78</v>
      </c>
      <c r="H189" s="4" t="s">
        <v>370</v>
      </c>
      <c r="I189" s="4">
        <f t="shared" si="6"/>
        <v>290</v>
      </c>
      <c r="J189" s="4">
        <f t="shared" si="7"/>
        <v>58</v>
      </c>
      <c r="K189" s="4" t="str">
        <f t="shared" si="8"/>
        <v>C</v>
      </c>
    </row>
    <row r="190" spans="1:11" x14ac:dyDescent="0.3">
      <c r="A190" s="4" t="s">
        <v>187</v>
      </c>
      <c r="B190" s="4" t="s">
        <v>353</v>
      </c>
      <c r="C190" s="4">
        <v>83</v>
      </c>
      <c r="D190" s="4">
        <v>87</v>
      </c>
      <c r="E190" s="4">
        <v>75</v>
      </c>
      <c r="F190" s="4">
        <v>85</v>
      </c>
      <c r="G190" s="4">
        <v>34</v>
      </c>
      <c r="H190" s="4" t="s">
        <v>370</v>
      </c>
      <c r="I190" s="4">
        <f t="shared" si="6"/>
        <v>364</v>
      </c>
      <c r="J190" s="4">
        <f t="shared" si="7"/>
        <v>72.8</v>
      </c>
      <c r="K190" s="4" t="str">
        <f t="shared" si="8"/>
        <v>B</v>
      </c>
    </row>
    <row r="191" spans="1:11" x14ac:dyDescent="0.3">
      <c r="A191" s="4" t="s">
        <v>188</v>
      </c>
      <c r="B191" s="4" t="s">
        <v>354</v>
      </c>
      <c r="C191" s="4">
        <v>41</v>
      </c>
      <c r="D191" s="4">
        <v>57</v>
      </c>
      <c r="E191" s="4">
        <v>63</v>
      </c>
      <c r="F191" s="4">
        <v>88</v>
      </c>
      <c r="G191" s="4">
        <v>75</v>
      </c>
      <c r="H191" s="4" t="s">
        <v>370</v>
      </c>
      <c r="I191" s="4">
        <f t="shared" si="6"/>
        <v>324</v>
      </c>
      <c r="J191" s="4">
        <f t="shared" si="7"/>
        <v>64.8</v>
      </c>
      <c r="K191" s="4" t="str">
        <f t="shared" si="8"/>
        <v>B</v>
      </c>
    </row>
    <row r="192" spans="1:11" x14ac:dyDescent="0.3">
      <c r="A192" s="4" t="s">
        <v>189</v>
      </c>
      <c r="B192" s="4" t="s">
        <v>332</v>
      </c>
      <c r="C192" s="4">
        <v>83</v>
      </c>
      <c r="D192" s="4">
        <v>66</v>
      </c>
      <c r="E192" s="4">
        <v>35</v>
      </c>
      <c r="F192" s="4">
        <v>67</v>
      </c>
      <c r="G192" s="4">
        <v>56</v>
      </c>
      <c r="H192" s="4" t="s">
        <v>370</v>
      </c>
      <c r="I192" s="4">
        <f t="shared" si="6"/>
        <v>307</v>
      </c>
      <c r="J192" s="4">
        <f t="shared" si="7"/>
        <v>61.4</v>
      </c>
      <c r="K192" s="4" t="str">
        <f t="shared" si="8"/>
        <v>B</v>
      </c>
    </row>
    <row r="193" spans="1:11" x14ac:dyDescent="0.3">
      <c r="A193" s="4" t="s">
        <v>190</v>
      </c>
      <c r="B193" s="4" t="s">
        <v>355</v>
      </c>
      <c r="C193" s="4">
        <v>42</v>
      </c>
      <c r="D193" s="4">
        <v>77</v>
      </c>
      <c r="E193" s="4">
        <v>65</v>
      </c>
      <c r="F193" s="4">
        <v>66</v>
      </c>
      <c r="G193" s="4">
        <v>65</v>
      </c>
      <c r="H193" s="4" t="s">
        <v>370</v>
      </c>
      <c r="I193" s="4">
        <f t="shared" si="6"/>
        <v>315</v>
      </c>
      <c r="J193" s="4">
        <f t="shared" si="7"/>
        <v>63</v>
      </c>
      <c r="K193" s="4" t="str">
        <f t="shared" si="8"/>
        <v>B</v>
      </c>
    </row>
    <row r="194" spans="1:11" x14ac:dyDescent="0.3">
      <c r="A194" s="4" t="s">
        <v>191</v>
      </c>
      <c r="B194" s="4" t="s">
        <v>353</v>
      </c>
      <c r="C194" s="4">
        <v>97</v>
      </c>
      <c r="D194" s="4">
        <v>92</v>
      </c>
      <c r="E194" s="4">
        <v>60</v>
      </c>
      <c r="F194" s="4">
        <v>51</v>
      </c>
      <c r="G194" s="4">
        <v>45</v>
      </c>
      <c r="H194" s="4" t="s">
        <v>370</v>
      </c>
      <c r="I194" s="4">
        <f t="shared" si="6"/>
        <v>345</v>
      </c>
      <c r="J194" s="4">
        <f t="shared" si="7"/>
        <v>69</v>
      </c>
      <c r="K194" s="4" t="str">
        <f t="shared" si="8"/>
        <v>B</v>
      </c>
    </row>
    <row r="195" spans="1:11" x14ac:dyDescent="0.3">
      <c r="A195" s="4" t="s">
        <v>192</v>
      </c>
      <c r="B195" s="4" t="s">
        <v>225</v>
      </c>
      <c r="C195" s="4">
        <v>67</v>
      </c>
      <c r="D195" s="4">
        <v>48</v>
      </c>
      <c r="E195" s="4">
        <v>63</v>
      </c>
      <c r="F195" s="4">
        <v>93</v>
      </c>
      <c r="G195" s="4">
        <v>94</v>
      </c>
      <c r="H195" s="4" t="s">
        <v>370</v>
      </c>
      <c r="I195" s="4">
        <f t="shared" si="6"/>
        <v>365</v>
      </c>
      <c r="J195" s="4">
        <f t="shared" si="7"/>
        <v>73</v>
      </c>
      <c r="K195" s="4" t="str">
        <f t="shared" si="8"/>
        <v>B</v>
      </c>
    </row>
    <row r="196" spans="1:11" x14ac:dyDescent="0.3">
      <c r="A196" s="4" t="s">
        <v>193</v>
      </c>
      <c r="B196" s="4" t="s">
        <v>356</v>
      </c>
      <c r="C196" s="4">
        <v>83</v>
      </c>
      <c r="D196" s="4">
        <v>35</v>
      </c>
      <c r="E196" s="4">
        <v>81</v>
      </c>
      <c r="F196" s="4">
        <v>91</v>
      </c>
      <c r="G196" s="4">
        <v>81</v>
      </c>
      <c r="H196" s="4" t="s">
        <v>370</v>
      </c>
      <c r="I196" s="4">
        <f t="shared" si="6"/>
        <v>371</v>
      </c>
      <c r="J196" s="4">
        <f t="shared" si="7"/>
        <v>74.2</v>
      </c>
      <c r="K196" s="4" t="str">
        <f t="shared" si="8"/>
        <v>B</v>
      </c>
    </row>
    <row r="197" spans="1:11" x14ac:dyDescent="0.3">
      <c r="A197" s="4" t="s">
        <v>194</v>
      </c>
      <c r="B197" s="4" t="s">
        <v>295</v>
      </c>
      <c r="C197" s="4">
        <v>63</v>
      </c>
      <c r="D197" s="4">
        <v>34</v>
      </c>
      <c r="E197" s="4">
        <v>85</v>
      </c>
      <c r="F197" s="4">
        <v>64</v>
      </c>
      <c r="G197" s="4">
        <v>35</v>
      </c>
      <c r="H197" s="4" t="s">
        <v>370</v>
      </c>
      <c r="I197" s="4">
        <f t="shared" si="6"/>
        <v>281</v>
      </c>
      <c r="J197" s="4">
        <f t="shared" si="7"/>
        <v>56.2</v>
      </c>
      <c r="K197" s="4" t="str">
        <f t="shared" si="8"/>
        <v>C</v>
      </c>
    </row>
    <row r="198" spans="1:11" x14ac:dyDescent="0.3">
      <c r="A198" s="4" t="s">
        <v>195</v>
      </c>
      <c r="B198" s="4" t="s">
        <v>277</v>
      </c>
      <c r="C198" s="4">
        <v>89</v>
      </c>
      <c r="D198" s="4">
        <v>87</v>
      </c>
      <c r="E198" s="4">
        <v>91</v>
      </c>
      <c r="F198" s="4">
        <v>91</v>
      </c>
      <c r="G198" s="4">
        <v>88</v>
      </c>
      <c r="H198" s="4" t="s">
        <v>370</v>
      </c>
      <c r="I198" s="4">
        <f t="shared" si="6"/>
        <v>446</v>
      </c>
      <c r="J198" s="4">
        <f t="shared" si="7"/>
        <v>89.2</v>
      </c>
      <c r="K198" s="4" t="str">
        <f t="shared" si="8"/>
        <v>A</v>
      </c>
    </row>
    <row r="199" spans="1:11" x14ac:dyDescent="0.3">
      <c r="A199" s="4" t="s">
        <v>196</v>
      </c>
      <c r="B199" s="4" t="s">
        <v>319</v>
      </c>
      <c r="C199" s="4">
        <v>59</v>
      </c>
      <c r="D199" s="4">
        <v>62</v>
      </c>
      <c r="E199" s="4">
        <v>82</v>
      </c>
      <c r="F199" s="4">
        <v>61</v>
      </c>
      <c r="G199" s="4">
        <v>92</v>
      </c>
      <c r="H199" s="4" t="s">
        <v>370</v>
      </c>
      <c r="I199" s="4">
        <f t="shared" si="6"/>
        <v>356</v>
      </c>
      <c r="J199" s="4">
        <f t="shared" si="7"/>
        <v>71.2</v>
      </c>
      <c r="K199" s="4" t="str">
        <f t="shared" si="8"/>
        <v>B</v>
      </c>
    </row>
    <row r="200" spans="1:11" x14ac:dyDescent="0.3">
      <c r="A200" s="4" t="s">
        <v>197</v>
      </c>
      <c r="B200" s="4" t="s">
        <v>278</v>
      </c>
      <c r="C200" s="4">
        <v>48</v>
      </c>
      <c r="D200" s="4">
        <v>77</v>
      </c>
      <c r="E200" s="4">
        <v>52</v>
      </c>
      <c r="F200" s="4">
        <v>100</v>
      </c>
      <c r="G200" s="4">
        <v>96</v>
      </c>
      <c r="H200" s="4" t="s">
        <v>370</v>
      </c>
      <c r="I200" s="4">
        <f t="shared" ref="I200:I206" si="9">SUM(C200:G200)</f>
        <v>373</v>
      </c>
      <c r="J200" s="4">
        <f t="shared" ref="J200:J206" si="10">AVERAGE(C200:G200)</f>
        <v>74.599999999999994</v>
      </c>
      <c r="K200" s="4" t="str">
        <f t="shared" ref="K200:K206" si="11">IF(J200&gt;=90,"A+",IF(J200&gt;=75,"A",IF(J200&gt;=60,"B",IF(J200&gt;=45,"C","Fail"))))</f>
        <v>B</v>
      </c>
    </row>
    <row r="201" spans="1:11" x14ac:dyDescent="0.3">
      <c r="A201" s="4" t="s">
        <v>198</v>
      </c>
      <c r="B201" s="4" t="s">
        <v>286</v>
      </c>
      <c r="C201" s="4">
        <v>44</v>
      </c>
      <c r="D201" s="4">
        <v>97</v>
      </c>
      <c r="E201" s="4">
        <v>55</v>
      </c>
      <c r="F201" s="4">
        <v>70</v>
      </c>
      <c r="G201" s="4">
        <v>67</v>
      </c>
      <c r="H201" s="4" t="s">
        <v>370</v>
      </c>
      <c r="I201" s="4">
        <f t="shared" si="9"/>
        <v>333</v>
      </c>
      <c r="J201" s="4">
        <f t="shared" si="10"/>
        <v>66.599999999999994</v>
      </c>
      <c r="K201" s="4" t="str">
        <f t="shared" si="11"/>
        <v>B</v>
      </c>
    </row>
    <row r="202" spans="1:11" x14ac:dyDescent="0.3">
      <c r="A202" s="4" t="s">
        <v>199</v>
      </c>
      <c r="B202" s="4" t="s">
        <v>357</v>
      </c>
      <c r="C202" s="4">
        <v>45</v>
      </c>
      <c r="D202" s="4">
        <v>37</v>
      </c>
      <c r="E202" s="4">
        <v>93</v>
      </c>
      <c r="F202" s="4">
        <v>47</v>
      </c>
      <c r="G202" s="4">
        <v>78</v>
      </c>
      <c r="H202" s="4" t="s">
        <v>370</v>
      </c>
      <c r="I202" s="4">
        <f t="shared" si="9"/>
        <v>300</v>
      </c>
      <c r="J202" s="4">
        <f t="shared" si="10"/>
        <v>60</v>
      </c>
      <c r="K202" s="4" t="str">
        <f t="shared" si="11"/>
        <v>B</v>
      </c>
    </row>
    <row r="203" spans="1:11" x14ac:dyDescent="0.3">
      <c r="A203" s="4" t="s">
        <v>200</v>
      </c>
      <c r="B203" s="4" t="s">
        <v>358</v>
      </c>
      <c r="C203" s="4">
        <v>79</v>
      </c>
      <c r="D203" s="4">
        <v>62</v>
      </c>
      <c r="E203" s="4">
        <v>56</v>
      </c>
      <c r="F203" s="4">
        <v>86</v>
      </c>
      <c r="G203" s="4">
        <v>37</v>
      </c>
      <c r="H203" s="4" t="s">
        <v>370</v>
      </c>
      <c r="I203" s="4">
        <f t="shared" si="9"/>
        <v>320</v>
      </c>
      <c r="J203" s="4">
        <f t="shared" si="10"/>
        <v>64</v>
      </c>
      <c r="K203" s="4" t="str">
        <f t="shared" si="11"/>
        <v>B</v>
      </c>
    </row>
    <row r="204" spans="1:11" x14ac:dyDescent="0.3">
      <c r="A204" s="4" t="s">
        <v>201</v>
      </c>
      <c r="B204" s="4" t="s">
        <v>359</v>
      </c>
      <c r="C204" s="4">
        <v>99</v>
      </c>
      <c r="D204" s="4">
        <v>31</v>
      </c>
      <c r="E204" s="4">
        <v>83</v>
      </c>
      <c r="F204" s="4">
        <v>84</v>
      </c>
      <c r="G204" s="4">
        <v>48</v>
      </c>
      <c r="H204" s="4" t="s">
        <v>370</v>
      </c>
      <c r="I204" s="4">
        <f t="shared" si="9"/>
        <v>345</v>
      </c>
      <c r="J204" s="4">
        <f t="shared" si="10"/>
        <v>69</v>
      </c>
      <c r="K204" s="4" t="str">
        <f t="shared" si="11"/>
        <v>B</v>
      </c>
    </row>
    <row r="205" spans="1:11" x14ac:dyDescent="0.3">
      <c r="A205" s="4" t="s">
        <v>202</v>
      </c>
      <c r="B205" s="4" t="s">
        <v>260</v>
      </c>
      <c r="C205" s="4">
        <v>81</v>
      </c>
      <c r="D205" s="4">
        <v>100</v>
      </c>
      <c r="E205" s="4">
        <v>44</v>
      </c>
      <c r="F205" s="4">
        <v>78</v>
      </c>
      <c r="G205" s="4">
        <v>45</v>
      </c>
      <c r="H205" s="4" t="s">
        <v>370</v>
      </c>
      <c r="I205" s="4">
        <f t="shared" si="9"/>
        <v>348</v>
      </c>
      <c r="J205" s="4">
        <f t="shared" si="10"/>
        <v>69.599999999999994</v>
      </c>
      <c r="K205" s="4" t="str">
        <f t="shared" si="11"/>
        <v>B</v>
      </c>
    </row>
    <row r="206" spans="1:11" x14ac:dyDescent="0.3">
      <c r="A206" s="4" t="s">
        <v>203</v>
      </c>
      <c r="B206" s="4" t="s">
        <v>236</v>
      </c>
      <c r="C206" s="4">
        <v>47</v>
      </c>
      <c r="D206" s="4">
        <v>82</v>
      </c>
      <c r="E206" s="4">
        <v>85</v>
      </c>
      <c r="F206" s="4">
        <v>72</v>
      </c>
      <c r="G206" s="4">
        <v>92</v>
      </c>
      <c r="H206" s="4" t="s">
        <v>370</v>
      </c>
      <c r="I206" s="4">
        <f t="shared" si="9"/>
        <v>378</v>
      </c>
      <c r="J206" s="4">
        <f t="shared" si="10"/>
        <v>75.599999999999994</v>
      </c>
      <c r="K206" s="4" t="str">
        <f t="shared" si="11"/>
        <v>A</v>
      </c>
    </row>
    <row r="207" spans="1:11" x14ac:dyDescent="0.3">
      <c r="A207" s="5"/>
      <c r="B207" s="5"/>
    </row>
    <row r="208" spans="1:11" ht="15.6" x14ac:dyDescent="0.3">
      <c r="A208" s="6" t="s">
        <v>371</v>
      </c>
      <c r="B208" s="7">
        <f>COUNTA(B7:B206)</f>
        <v>200</v>
      </c>
    </row>
    <row r="209" spans="1:2" ht="15.6" x14ac:dyDescent="0.3">
      <c r="A209" s="6" t="s">
        <v>372</v>
      </c>
      <c r="B209" s="7">
        <f>AVERAGE(J7:J206)</f>
        <v>66.05900000000004</v>
      </c>
    </row>
    <row r="210" spans="1:2" ht="15.6" x14ac:dyDescent="0.3">
      <c r="A210" s="6" t="s">
        <v>373</v>
      </c>
      <c r="B210" s="7">
        <f>MAX(J7:J206)</f>
        <v>89.2</v>
      </c>
    </row>
    <row r="211" spans="1:2" ht="15.6" x14ac:dyDescent="0.3">
      <c r="A211" s="6" t="s">
        <v>374</v>
      </c>
      <c r="B211" s="7">
        <f>MIN(J7:J206)</f>
        <v>44</v>
      </c>
    </row>
  </sheetData>
  <mergeCells count="3">
    <mergeCell ref="A2:D2"/>
    <mergeCell ref="A3:L3"/>
    <mergeCell ref="A4:K4"/>
  </mergeCells>
  <conditionalFormatting sqref="K7:K206">
    <cfRule type="cellIs" dxfId="4" priority="3" operator="equal">
      <formula>"c"</formula>
    </cfRule>
    <cfRule type="cellIs" dxfId="3" priority="4" operator="equal">
      <formula>"b"</formula>
    </cfRule>
    <cfRule type="cellIs" dxfId="2" priority="5" operator="equal">
      <formula>"A"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8">
    <cfRule type="cellIs" dxfId="1" priority="1" operator="equal">
      <formula>"a+"</formula>
    </cfRule>
  </conditionalFormatting>
  <conditionalFormatting sqref="K161">
    <cfRule type="cellIs" dxfId="0" priority="2" operator="equal">
      <formula>"fail"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2E6F-6FA4-4F5C-B83B-AD6BAD61F22D}">
  <dimension ref="A2:B7"/>
  <sheetViews>
    <sheetView workbookViewId="0">
      <selection activeCell="B13" sqref="B13"/>
    </sheetView>
  </sheetViews>
  <sheetFormatPr defaultRowHeight="14.4" x14ac:dyDescent="0.3"/>
  <cols>
    <col min="2" max="2" width="15.21875" customWidth="1"/>
  </cols>
  <sheetData>
    <row r="2" spans="1:2" x14ac:dyDescent="0.3">
      <c r="A2" s="12" t="s">
        <v>375</v>
      </c>
      <c r="B2" s="12" t="s">
        <v>376</v>
      </c>
    </row>
    <row r="3" spans="1:2" x14ac:dyDescent="0.3">
      <c r="A3" s="4" t="s">
        <v>377</v>
      </c>
      <c r="B3" s="4">
        <v>33</v>
      </c>
    </row>
    <row r="4" spans="1:2" x14ac:dyDescent="0.3">
      <c r="A4" s="4" t="s">
        <v>378</v>
      </c>
      <c r="B4" s="4">
        <v>117</v>
      </c>
    </row>
    <row r="5" spans="1:2" x14ac:dyDescent="0.3">
      <c r="A5" s="4" t="s">
        <v>379</v>
      </c>
      <c r="B5" s="4">
        <v>49</v>
      </c>
    </row>
    <row r="6" spans="1:2" x14ac:dyDescent="0.3">
      <c r="A6" s="4" t="s">
        <v>380</v>
      </c>
      <c r="B6" s="4">
        <v>0</v>
      </c>
    </row>
    <row r="7" spans="1:2" x14ac:dyDescent="0.3">
      <c r="A7" s="4" t="s">
        <v>381</v>
      </c>
      <c r="B7" s="4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EB0C-90EE-4C30-BA43-7E922A8E3796}">
  <dimension ref="A3:D8"/>
  <sheetViews>
    <sheetView workbookViewId="0">
      <selection activeCell="C3" sqref="C3"/>
    </sheetView>
  </sheetViews>
  <sheetFormatPr defaultRowHeight="14.4" x14ac:dyDescent="0.3"/>
  <cols>
    <col min="1" max="1" width="15.21875" customWidth="1"/>
    <col min="2" max="2" width="16.21875" customWidth="1"/>
    <col min="3" max="3" width="16.5546875" customWidth="1"/>
    <col min="4" max="4" width="14.77734375" customWidth="1"/>
  </cols>
  <sheetData>
    <row r="3" spans="1:4" x14ac:dyDescent="0.3">
      <c r="A3" s="9" t="s">
        <v>382</v>
      </c>
      <c r="B3" s="10" t="s">
        <v>383</v>
      </c>
      <c r="C3" s="10" t="s">
        <v>384</v>
      </c>
      <c r="D3" s="10" t="s">
        <v>385</v>
      </c>
    </row>
    <row r="4" spans="1:4" x14ac:dyDescent="0.3">
      <c r="A4" s="11" t="s">
        <v>2</v>
      </c>
      <c r="B4" s="13">
        <f>AVERAGE('STUDENTS DATA'!C7:C206)</f>
        <v>66.415000000000006</v>
      </c>
      <c r="C4" s="4">
        <v>100</v>
      </c>
      <c r="D4" s="4">
        <v>30</v>
      </c>
    </row>
    <row r="5" spans="1:4" x14ac:dyDescent="0.3">
      <c r="A5" s="11" t="s">
        <v>3</v>
      </c>
      <c r="B5" s="4">
        <f>AVERAGE('STUDENTS DATA'!D7:D206)</f>
        <v>66.28</v>
      </c>
      <c r="C5" s="4">
        <v>100</v>
      </c>
      <c r="D5" s="4">
        <v>30</v>
      </c>
    </row>
    <row r="6" spans="1:4" x14ac:dyDescent="0.3">
      <c r="A6" s="11" t="s">
        <v>1</v>
      </c>
      <c r="B6" s="13">
        <f>AVERAGE('STUDENTS DATA'!E8:E207)</f>
        <v>64.371859296482413</v>
      </c>
      <c r="C6" s="4">
        <v>100</v>
      </c>
      <c r="D6" s="4">
        <v>30</v>
      </c>
    </row>
    <row r="7" spans="1:4" x14ac:dyDescent="0.3">
      <c r="A7" s="11" t="s">
        <v>364</v>
      </c>
      <c r="B7" s="13">
        <f>AVERAGE('STUDENTS DATA'!F9:F208)</f>
        <v>68.661616161616166</v>
      </c>
      <c r="C7" s="4">
        <v>100</v>
      </c>
      <c r="D7" s="4">
        <v>30</v>
      </c>
    </row>
    <row r="8" spans="1:4" x14ac:dyDescent="0.3">
      <c r="A8" s="11" t="s">
        <v>365</v>
      </c>
      <c r="B8" s="13">
        <f>AVERAGE('STUDENTS DATA'!G10:G209)</f>
        <v>64.583756345177662</v>
      </c>
      <c r="C8" s="4">
        <v>100</v>
      </c>
      <c r="D8" s="4">
        <v>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4F50-6BEE-40F8-B0CF-EBADDF6E1FFA}">
  <dimension ref="A2:B26"/>
  <sheetViews>
    <sheetView tabSelected="1" topLeftCell="A14" workbookViewId="0">
      <selection activeCell="O21" sqref="O21"/>
    </sheetView>
  </sheetViews>
  <sheetFormatPr defaultRowHeight="14.4" x14ac:dyDescent="0.3"/>
  <cols>
    <col min="1" max="1" width="17.88671875" customWidth="1"/>
    <col min="2" max="2" width="15.21875" customWidth="1"/>
  </cols>
  <sheetData>
    <row r="2" spans="1:2" x14ac:dyDescent="0.3">
      <c r="A2" s="8" t="s">
        <v>375</v>
      </c>
      <c r="B2" s="8" t="s">
        <v>376</v>
      </c>
    </row>
    <row r="3" spans="1:2" x14ac:dyDescent="0.3">
      <c r="A3" s="14" t="s">
        <v>377</v>
      </c>
      <c r="B3" s="4">
        <v>33</v>
      </c>
    </row>
    <row r="4" spans="1:2" x14ac:dyDescent="0.3">
      <c r="A4" s="14" t="s">
        <v>378</v>
      </c>
      <c r="B4" s="4">
        <v>117</v>
      </c>
    </row>
    <row r="5" spans="1:2" x14ac:dyDescent="0.3">
      <c r="A5" s="14" t="s">
        <v>379</v>
      </c>
      <c r="B5" s="4">
        <v>49</v>
      </c>
    </row>
    <row r="6" spans="1:2" x14ac:dyDescent="0.3">
      <c r="A6" s="14" t="s">
        <v>380</v>
      </c>
      <c r="B6" s="4">
        <v>0</v>
      </c>
    </row>
    <row r="7" spans="1:2" x14ac:dyDescent="0.3">
      <c r="A7" s="14" t="s">
        <v>381</v>
      </c>
      <c r="B7" s="4">
        <v>1</v>
      </c>
    </row>
    <row r="23" spans="1:2" ht="15.6" x14ac:dyDescent="0.3">
      <c r="A23" s="6" t="s">
        <v>371</v>
      </c>
      <c r="B23" s="4">
        <v>200</v>
      </c>
    </row>
    <row r="24" spans="1:2" ht="15.6" x14ac:dyDescent="0.3">
      <c r="A24" s="6" t="s">
        <v>372</v>
      </c>
      <c r="B24" s="4">
        <v>66.058999999999997</v>
      </c>
    </row>
    <row r="25" spans="1:2" ht="15.6" x14ac:dyDescent="0.3">
      <c r="A25" s="6" t="s">
        <v>373</v>
      </c>
      <c r="B25" s="4">
        <v>89.2</v>
      </c>
    </row>
    <row r="26" spans="1:2" ht="15.6" x14ac:dyDescent="0.3">
      <c r="A26" s="6" t="s">
        <v>374</v>
      </c>
      <c r="B26" s="4">
        <v>44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4E40-0547-44A1-9F72-B32DC3A05294}">
  <dimension ref="A1:E12"/>
  <sheetViews>
    <sheetView workbookViewId="0">
      <selection activeCell="I11" sqref="I11"/>
    </sheetView>
  </sheetViews>
  <sheetFormatPr defaultRowHeight="14.4" x14ac:dyDescent="0.3"/>
  <cols>
    <col min="2" max="2" width="13.88671875" customWidth="1"/>
  </cols>
  <sheetData>
    <row r="1" spans="1:5" x14ac:dyDescent="0.3">
      <c r="A1" s="16" t="s">
        <v>386</v>
      </c>
      <c r="B1" s="17"/>
      <c r="C1" s="7"/>
      <c r="D1" s="7"/>
      <c r="E1" s="7"/>
    </row>
    <row r="2" spans="1:5" x14ac:dyDescent="0.3">
      <c r="A2" s="15" t="s">
        <v>0</v>
      </c>
      <c r="B2" s="15" t="s">
        <v>387</v>
      </c>
      <c r="C2" s="15" t="s">
        <v>367</v>
      </c>
      <c r="D2" s="15" t="s">
        <v>388</v>
      </c>
      <c r="E2" s="15" t="s">
        <v>369</v>
      </c>
    </row>
    <row r="3" spans="1:5" x14ac:dyDescent="0.3">
      <c r="A3" s="7" t="s">
        <v>389</v>
      </c>
      <c r="B3" s="7" t="s">
        <v>390</v>
      </c>
      <c r="C3" s="4">
        <v>429</v>
      </c>
      <c r="D3" s="4">
        <v>85.8</v>
      </c>
      <c r="E3" s="4" t="s">
        <v>377</v>
      </c>
    </row>
    <row r="4" spans="1:5" x14ac:dyDescent="0.3">
      <c r="A4" s="7" t="s">
        <v>391</v>
      </c>
      <c r="B4" s="7" t="s">
        <v>392</v>
      </c>
      <c r="C4" s="4">
        <v>424</v>
      </c>
      <c r="D4" s="4">
        <v>84.8</v>
      </c>
      <c r="E4" s="4" t="s">
        <v>377</v>
      </c>
    </row>
    <row r="5" spans="1:5" x14ac:dyDescent="0.3">
      <c r="A5" s="7" t="s">
        <v>393</v>
      </c>
      <c r="B5" s="7" t="s">
        <v>344</v>
      </c>
      <c r="C5" s="4">
        <v>416</v>
      </c>
      <c r="D5" s="4">
        <v>83.2</v>
      </c>
      <c r="E5" s="4" t="s">
        <v>377</v>
      </c>
    </row>
    <row r="6" spans="1:5" x14ac:dyDescent="0.3">
      <c r="A6" s="7" t="s">
        <v>394</v>
      </c>
      <c r="B6" s="7" t="s">
        <v>395</v>
      </c>
      <c r="C6" s="4">
        <v>414</v>
      </c>
      <c r="D6" s="4">
        <v>82.8</v>
      </c>
      <c r="E6" s="4" t="s">
        <v>377</v>
      </c>
    </row>
    <row r="7" spans="1:5" x14ac:dyDescent="0.3">
      <c r="A7" s="7" t="s">
        <v>396</v>
      </c>
      <c r="B7" s="7" t="s">
        <v>395</v>
      </c>
      <c r="C7" s="4">
        <v>411</v>
      </c>
      <c r="D7" s="4">
        <v>82.2</v>
      </c>
      <c r="E7" s="4" t="s">
        <v>377</v>
      </c>
    </row>
    <row r="8" spans="1:5" x14ac:dyDescent="0.3">
      <c r="A8" s="7" t="s">
        <v>397</v>
      </c>
      <c r="B8" s="7" t="s">
        <v>398</v>
      </c>
      <c r="C8" s="4">
        <v>411</v>
      </c>
      <c r="D8" s="4">
        <v>82.2</v>
      </c>
      <c r="E8" s="4" t="s">
        <v>377</v>
      </c>
    </row>
    <row r="9" spans="1:5" x14ac:dyDescent="0.3">
      <c r="A9" s="7" t="s">
        <v>399</v>
      </c>
      <c r="B9" s="7" t="s">
        <v>314</v>
      </c>
      <c r="C9" s="4">
        <v>410</v>
      </c>
      <c r="D9" s="4">
        <v>82</v>
      </c>
      <c r="E9" s="4" t="s">
        <v>377</v>
      </c>
    </row>
    <row r="10" spans="1:5" x14ac:dyDescent="0.3">
      <c r="A10" s="7" t="s">
        <v>400</v>
      </c>
      <c r="B10" s="7" t="s">
        <v>204</v>
      </c>
      <c r="C10" s="4">
        <v>410</v>
      </c>
      <c r="D10" s="4">
        <v>82</v>
      </c>
      <c r="E10" s="4" t="s">
        <v>377</v>
      </c>
    </row>
    <row r="11" spans="1:5" x14ac:dyDescent="0.3">
      <c r="A11" s="7" t="s">
        <v>401</v>
      </c>
      <c r="B11" s="7" t="s">
        <v>402</v>
      </c>
      <c r="C11" s="4">
        <v>408</v>
      </c>
      <c r="D11" s="4">
        <v>81.599999999999994</v>
      </c>
      <c r="E11" s="4" t="s">
        <v>377</v>
      </c>
    </row>
    <row r="12" spans="1:5" x14ac:dyDescent="0.3">
      <c r="A12" s="7" t="s">
        <v>403</v>
      </c>
      <c r="B12" s="7" t="s">
        <v>404</v>
      </c>
      <c r="C12" s="4">
        <v>408</v>
      </c>
      <c r="D12" s="4">
        <v>81.599999999999994</v>
      </c>
      <c r="E12" s="4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STUDENTS DATA</vt:lpstr>
      <vt:lpstr>STUDENTS GRADES</vt:lpstr>
      <vt:lpstr>SUMMARY REPORT</vt:lpstr>
      <vt:lpstr>DASHBOARD</vt:lpstr>
      <vt:lpstr>TOP 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prince sahu</cp:lastModifiedBy>
  <dcterms:created xsi:type="dcterms:W3CDTF">2025-10-31T06:31:05Z</dcterms:created>
  <dcterms:modified xsi:type="dcterms:W3CDTF">2025-11-01T05:40:43Z</dcterms:modified>
</cp:coreProperties>
</file>